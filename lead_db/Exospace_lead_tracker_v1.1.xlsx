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ssi\Documents\Exospace SRO CZ\Lead_tracker\"/>
    </mc:Choice>
  </mc:AlternateContent>
  <xr:revisionPtr revIDLastSave="0" documentId="13_ncr:1_{321A420B-1D90-4969-B5B1-E917C08566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 CRM" sheetId="1" r:id="rId1"/>
    <sheet name="Dashboard" sheetId="2" r:id="rId2"/>
    <sheet name="Follow-up Today" sheetId="3" r:id="rId3"/>
    <sheet name="Agent Prompt" sheetId="4" r:id="rId4"/>
  </sheets>
  <definedNames>
    <definedName name="_xlnm._FilterDatabase" localSheetId="0" hidden="1">'Leads CRM'!$A$1:$AA$201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2" l="1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  <c r="E4" i="2"/>
  <c r="B3" i="2"/>
  <c r="U201" i="1"/>
  <c r="O201" i="1"/>
  <c r="U200" i="1"/>
  <c r="O200" i="1"/>
  <c r="U199" i="1"/>
  <c r="O199" i="1"/>
  <c r="U198" i="1"/>
  <c r="O198" i="1"/>
  <c r="U197" i="1"/>
  <c r="O197" i="1"/>
  <c r="U196" i="1"/>
  <c r="O196" i="1"/>
  <c r="U195" i="1"/>
  <c r="O195" i="1"/>
  <c r="U194" i="1"/>
  <c r="O194" i="1"/>
  <c r="U193" i="1"/>
  <c r="O193" i="1"/>
  <c r="U192" i="1"/>
  <c r="O192" i="1"/>
  <c r="U191" i="1"/>
  <c r="O191" i="1"/>
  <c r="U190" i="1"/>
  <c r="O190" i="1"/>
  <c r="U189" i="1"/>
  <c r="O189" i="1"/>
  <c r="U188" i="1"/>
  <c r="O188" i="1"/>
  <c r="U187" i="1"/>
  <c r="O187" i="1"/>
  <c r="U186" i="1"/>
  <c r="O186" i="1"/>
  <c r="U185" i="1"/>
  <c r="O185" i="1"/>
  <c r="U184" i="1"/>
  <c r="O184" i="1"/>
  <c r="U183" i="1"/>
  <c r="O183" i="1"/>
  <c r="U182" i="1"/>
  <c r="O182" i="1"/>
  <c r="U181" i="1"/>
  <c r="O181" i="1"/>
  <c r="U180" i="1"/>
  <c r="O180" i="1"/>
  <c r="U179" i="1"/>
  <c r="O179" i="1"/>
  <c r="U178" i="1"/>
  <c r="O178" i="1"/>
  <c r="U177" i="1"/>
  <c r="O177" i="1"/>
  <c r="U176" i="1"/>
  <c r="O176" i="1"/>
  <c r="U175" i="1"/>
  <c r="O175" i="1"/>
  <c r="U174" i="1"/>
  <c r="O174" i="1"/>
  <c r="U173" i="1"/>
  <c r="O173" i="1"/>
  <c r="U172" i="1"/>
  <c r="O172" i="1"/>
  <c r="U171" i="1"/>
  <c r="O171" i="1"/>
  <c r="U170" i="1"/>
  <c r="O170" i="1"/>
  <c r="U169" i="1"/>
  <c r="O169" i="1"/>
  <c r="U168" i="1"/>
  <c r="O168" i="1"/>
  <c r="U167" i="1"/>
  <c r="O167" i="1"/>
  <c r="U166" i="1"/>
  <c r="O166" i="1"/>
  <c r="U165" i="1"/>
  <c r="O165" i="1"/>
  <c r="U164" i="1"/>
  <c r="O164" i="1"/>
  <c r="U163" i="1"/>
  <c r="O163" i="1"/>
  <c r="U162" i="1"/>
  <c r="O162" i="1"/>
  <c r="U161" i="1"/>
  <c r="O161" i="1"/>
  <c r="U160" i="1"/>
  <c r="O160" i="1"/>
  <c r="U159" i="1"/>
  <c r="O159" i="1"/>
  <c r="U158" i="1"/>
  <c r="O158" i="1"/>
  <c r="U157" i="1"/>
  <c r="O157" i="1"/>
  <c r="U156" i="1"/>
  <c r="O156" i="1"/>
  <c r="U155" i="1"/>
  <c r="O155" i="1"/>
  <c r="U154" i="1"/>
  <c r="O154" i="1"/>
  <c r="U153" i="1"/>
  <c r="O153" i="1"/>
  <c r="U152" i="1"/>
  <c r="O152" i="1"/>
  <c r="U151" i="1"/>
  <c r="O151" i="1"/>
  <c r="U150" i="1"/>
  <c r="O150" i="1"/>
  <c r="U149" i="1"/>
  <c r="O149" i="1"/>
  <c r="U148" i="1"/>
  <c r="O148" i="1"/>
  <c r="U147" i="1"/>
  <c r="O147" i="1"/>
  <c r="U146" i="1"/>
  <c r="O146" i="1"/>
  <c r="U145" i="1"/>
  <c r="O145" i="1"/>
  <c r="U144" i="1"/>
  <c r="O144" i="1"/>
  <c r="U143" i="1"/>
  <c r="O143" i="1"/>
  <c r="U142" i="1"/>
  <c r="O142" i="1"/>
  <c r="U141" i="1"/>
  <c r="O141" i="1"/>
  <c r="U140" i="1"/>
  <c r="O140" i="1"/>
  <c r="U139" i="1"/>
  <c r="O139" i="1"/>
  <c r="U138" i="1"/>
  <c r="O138" i="1"/>
  <c r="U137" i="1"/>
  <c r="O137" i="1"/>
  <c r="U136" i="1"/>
  <c r="O136" i="1"/>
  <c r="U135" i="1"/>
  <c r="O135" i="1"/>
  <c r="U134" i="1"/>
  <c r="O134" i="1"/>
  <c r="U133" i="1"/>
  <c r="O133" i="1"/>
  <c r="U132" i="1"/>
  <c r="O132" i="1"/>
  <c r="U131" i="1"/>
  <c r="O131" i="1"/>
  <c r="U130" i="1"/>
  <c r="O130" i="1"/>
  <c r="U129" i="1"/>
  <c r="O129" i="1"/>
  <c r="U128" i="1"/>
  <c r="O128" i="1"/>
  <c r="U127" i="1"/>
  <c r="O127" i="1"/>
  <c r="U126" i="1"/>
  <c r="O126" i="1"/>
  <c r="U125" i="1"/>
  <c r="O125" i="1"/>
  <c r="U124" i="1"/>
  <c r="O124" i="1"/>
  <c r="U123" i="1"/>
  <c r="O123" i="1"/>
  <c r="U122" i="1"/>
  <c r="O122" i="1"/>
  <c r="U121" i="1"/>
  <c r="O121" i="1"/>
  <c r="U120" i="1"/>
  <c r="O120" i="1"/>
  <c r="U119" i="1"/>
  <c r="O119" i="1"/>
  <c r="U118" i="1"/>
  <c r="O118" i="1"/>
  <c r="U117" i="1"/>
  <c r="O117" i="1"/>
  <c r="U116" i="1"/>
  <c r="O116" i="1"/>
  <c r="U115" i="1"/>
  <c r="O115" i="1"/>
  <c r="U114" i="1"/>
  <c r="O114" i="1"/>
  <c r="U113" i="1"/>
  <c r="O113" i="1"/>
  <c r="U112" i="1"/>
  <c r="O112" i="1"/>
  <c r="U111" i="1"/>
  <c r="O111" i="1"/>
  <c r="U110" i="1"/>
  <c r="O110" i="1"/>
  <c r="U109" i="1"/>
  <c r="O109" i="1"/>
  <c r="U108" i="1"/>
  <c r="O108" i="1"/>
  <c r="U107" i="1"/>
  <c r="O107" i="1"/>
  <c r="U106" i="1"/>
  <c r="O106" i="1"/>
  <c r="U105" i="1"/>
  <c r="O105" i="1"/>
  <c r="U104" i="1"/>
  <c r="O104" i="1"/>
  <c r="U103" i="1"/>
  <c r="O103" i="1"/>
  <c r="U102" i="1"/>
  <c r="O102" i="1"/>
  <c r="U101" i="1"/>
  <c r="O101" i="1"/>
  <c r="U100" i="1"/>
  <c r="O100" i="1"/>
  <c r="U99" i="1"/>
  <c r="O99" i="1"/>
  <c r="U98" i="1"/>
  <c r="O98" i="1"/>
  <c r="U97" i="1"/>
  <c r="O97" i="1"/>
  <c r="U96" i="1"/>
  <c r="O96" i="1"/>
  <c r="U95" i="1"/>
  <c r="O95" i="1"/>
  <c r="U94" i="1"/>
  <c r="O94" i="1"/>
  <c r="U93" i="1"/>
  <c r="O93" i="1"/>
  <c r="U92" i="1"/>
  <c r="O92" i="1"/>
  <c r="U91" i="1"/>
  <c r="O91" i="1"/>
  <c r="U90" i="1"/>
  <c r="O90" i="1"/>
  <c r="U89" i="1"/>
  <c r="O89" i="1"/>
  <c r="U88" i="1"/>
  <c r="O88" i="1"/>
  <c r="U87" i="1"/>
  <c r="O87" i="1"/>
  <c r="U86" i="1"/>
  <c r="O86" i="1"/>
  <c r="U85" i="1"/>
  <c r="O85" i="1"/>
  <c r="U84" i="1"/>
  <c r="O84" i="1"/>
  <c r="U83" i="1"/>
  <c r="O83" i="1"/>
  <c r="U82" i="1"/>
  <c r="O82" i="1"/>
  <c r="U81" i="1"/>
  <c r="O81" i="1"/>
  <c r="U80" i="1"/>
  <c r="O80" i="1"/>
  <c r="U79" i="1"/>
  <c r="O79" i="1"/>
  <c r="U78" i="1"/>
  <c r="O78" i="1"/>
  <c r="U77" i="1"/>
  <c r="O77" i="1"/>
  <c r="U76" i="1"/>
  <c r="O76" i="1"/>
  <c r="U75" i="1"/>
  <c r="O75" i="1"/>
  <c r="U74" i="1"/>
  <c r="O74" i="1"/>
  <c r="U73" i="1"/>
  <c r="O73" i="1"/>
  <c r="U72" i="1"/>
  <c r="O72" i="1"/>
  <c r="U71" i="1"/>
  <c r="O71" i="1"/>
  <c r="U70" i="1"/>
  <c r="O70" i="1"/>
  <c r="U69" i="1"/>
  <c r="O69" i="1"/>
  <c r="U68" i="1"/>
  <c r="O68" i="1"/>
  <c r="U67" i="1"/>
  <c r="O67" i="1"/>
  <c r="U66" i="1"/>
  <c r="O66" i="1"/>
  <c r="U65" i="1"/>
  <c r="O65" i="1"/>
  <c r="U64" i="1"/>
  <c r="O64" i="1"/>
  <c r="U63" i="1"/>
  <c r="O63" i="1"/>
  <c r="U62" i="1"/>
  <c r="O62" i="1"/>
  <c r="U61" i="1"/>
  <c r="O61" i="1"/>
  <c r="U60" i="1"/>
  <c r="O60" i="1"/>
  <c r="U59" i="1"/>
  <c r="O59" i="1"/>
  <c r="U58" i="1"/>
  <c r="O58" i="1"/>
  <c r="U57" i="1"/>
  <c r="O57" i="1"/>
  <c r="U56" i="1"/>
  <c r="O56" i="1"/>
  <c r="U55" i="1"/>
  <c r="O55" i="1"/>
  <c r="U54" i="1"/>
  <c r="O54" i="1"/>
  <c r="U53" i="1"/>
  <c r="O53" i="1"/>
  <c r="U52" i="1"/>
  <c r="O52" i="1"/>
  <c r="U51" i="1"/>
  <c r="O51" i="1"/>
  <c r="U50" i="1"/>
  <c r="O50" i="1"/>
  <c r="U49" i="1"/>
  <c r="O49" i="1"/>
  <c r="U48" i="1"/>
  <c r="O48" i="1"/>
  <c r="U47" i="1"/>
  <c r="O47" i="1"/>
  <c r="U46" i="1"/>
  <c r="O46" i="1"/>
  <c r="U45" i="1"/>
  <c r="O45" i="1"/>
  <c r="U44" i="1"/>
  <c r="O44" i="1"/>
  <c r="U43" i="1"/>
  <c r="O43" i="1"/>
  <c r="U42" i="1"/>
  <c r="O42" i="1"/>
  <c r="U41" i="1"/>
  <c r="O41" i="1"/>
  <c r="U40" i="1"/>
  <c r="O40" i="1"/>
  <c r="U39" i="1"/>
  <c r="O39" i="1"/>
  <c r="U38" i="1"/>
  <c r="O38" i="1"/>
  <c r="U37" i="1"/>
  <c r="O37" i="1"/>
  <c r="U36" i="1"/>
  <c r="O36" i="1"/>
  <c r="U35" i="1"/>
  <c r="O35" i="1"/>
  <c r="U34" i="1"/>
  <c r="O34" i="1"/>
  <c r="U33" i="1"/>
  <c r="O33" i="1"/>
  <c r="U32" i="1"/>
  <c r="O32" i="1"/>
  <c r="U31" i="1"/>
  <c r="O31" i="1"/>
  <c r="U30" i="1"/>
  <c r="O30" i="1"/>
  <c r="U29" i="1"/>
  <c r="O29" i="1"/>
  <c r="U28" i="1"/>
  <c r="O28" i="1"/>
  <c r="U27" i="1"/>
  <c r="O27" i="1"/>
  <c r="U26" i="1"/>
  <c r="O26" i="1"/>
  <c r="U25" i="1"/>
  <c r="O25" i="1"/>
  <c r="U24" i="1"/>
  <c r="O24" i="1"/>
  <c r="U23" i="1"/>
  <c r="O23" i="1"/>
  <c r="U22" i="1"/>
  <c r="O22" i="1"/>
  <c r="U21" i="1"/>
  <c r="O21" i="1"/>
  <c r="U20" i="1"/>
  <c r="O20" i="1"/>
  <c r="U19" i="1"/>
  <c r="O19" i="1"/>
  <c r="U18" i="1"/>
  <c r="O18" i="1"/>
  <c r="U17" i="1"/>
  <c r="O17" i="1"/>
  <c r="U16" i="1"/>
  <c r="O16" i="1"/>
  <c r="U15" i="1"/>
  <c r="O15" i="1"/>
  <c r="U14" i="1"/>
  <c r="O14" i="1"/>
  <c r="U13" i="1"/>
  <c r="O13" i="1"/>
  <c r="U12" i="1"/>
  <c r="O12" i="1"/>
  <c r="U11" i="1"/>
  <c r="O11" i="1"/>
  <c r="U10" i="1"/>
  <c r="O10" i="1"/>
  <c r="U9" i="1"/>
  <c r="O9" i="1"/>
  <c r="U8" i="1"/>
  <c r="O8" i="1"/>
  <c r="U7" i="1"/>
  <c r="O7" i="1"/>
  <c r="U6" i="1"/>
  <c r="O6" i="1"/>
  <c r="U5" i="1"/>
  <c r="O5" i="1"/>
  <c r="U4" i="1"/>
  <c r="O4" i="1"/>
  <c r="U3" i="1"/>
  <c r="O3" i="1"/>
  <c r="U2" i="1"/>
  <c r="B14" i="2" s="1"/>
  <c r="O2" i="1"/>
</calcChain>
</file>

<file path=xl/sharedStrings.xml><?xml version="1.0" encoding="utf-8"?>
<sst xmlns="http://schemas.openxmlformats.org/spreadsheetml/2006/main" count="312" uniqueCount="285">
  <si>
    <t>Lead ID</t>
  </si>
  <si>
    <t>Company</t>
  </si>
  <si>
    <t>Contact Name</t>
  </si>
  <si>
    <t>Role</t>
  </si>
  <si>
    <t>Email</t>
  </si>
  <si>
    <t>Phone</t>
  </si>
  <si>
    <t>Country</t>
  </si>
  <si>
    <t>Segment</t>
  </si>
  <si>
    <t>Service Line</t>
  </si>
  <si>
    <t>Source</t>
  </si>
  <si>
    <t>Lead Score</t>
  </si>
  <si>
    <t>Status</t>
  </si>
  <si>
    <t>Last Contact Date</t>
  </si>
  <si>
    <t>Next Follow-up Date</t>
  </si>
  <si>
    <t>Days to Follow-up</t>
  </si>
  <si>
    <t>Owner</t>
  </si>
  <si>
    <t>Need / Pain</t>
  </si>
  <si>
    <t>Next Action</t>
  </si>
  <si>
    <t>Offer Value (€)</t>
  </si>
  <si>
    <t>Probability %</t>
  </si>
  <si>
    <t>Weighted Pipeline (€)</t>
  </si>
  <si>
    <t>Meeting Booked</t>
  </si>
  <si>
    <t>Proposal Sent</t>
  </si>
  <si>
    <t>Last Message / Notes</t>
  </si>
  <si>
    <t>Website</t>
  </si>
  <si>
    <t>LinkedIn</t>
  </si>
  <si>
    <t>Priority</t>
  </si>
  <si>
    <t>L-001</t>
  </si>
  <si>
    <t>ClearSpace</t>
  </si>
  <si>
    <t>Nicolas Croisard</t>
  </si>
  <si>
    <t>Unknown / Business Contact</t>
  </si>
  <si>
    <t>Nicolas.croisard@clearspace.today</t>
  </si>
  <si>
    <t>Switzerland</t>
  </si>
  <si>
    <t>Space / In-Orbit Services</t>
  </si>
  <si>
    <t>Senior engineering support / systems engineering / validation / technical reviews</t>
  </si>
  <si>
    <t>Direct outreach</t>
  </si>
  <si>
    <t>Contacted</t>
  </si>
  <si>
    <t>Gianluigi Rossi</t>
  </si>
  <si>
    <t>Potential need for senior systems engineering and technical support on current or future activities</t>
  </si>
  <si>
    <t>Send polite follow-up email if no reply</t>
  </si>
  <si>
    <t>No</t>
  </si>
  <si>
    <t>Intro email sent with company presentation attached. Waiting for first response.</t>
  </si>
  <si>
    <t>https://clearspace.today</t>
  </si>
  <si>
    <t>A</t>
  </si>
  <si>
    <t>L-002</t>
  </si>
  <si>
    <t>Reflex Aerospace</t>
  </si>
  <si>
    <t>Mr. Motzki</t>
  </si>
  <si>
    <t>feliz@reflexaerospace.com</t>
  </si>
  <si>
    <t>Germany</t>
  </si>
  <si>
    <t>Space / Satellite Manufacturing</t>
  </si>
  <si>
    <t>Potential need for senior engineering support across project lifecycle and technical reviews</t>
  </si>
  <si>
    <t>https://www.reflexaerospace.com</t>
  </si>
  <si>
    <t>L-003</t>
  </si>
  <si>
    <t>Helsing</t>
  </si>
  <si>
    <t>Mr. Rogerson</t>
  </si>
  <si>
    <t>Defence / AI / Security</t>
  </si>
  <si>
    <t>Potential need for senior engineering support, systems work and technical reviews on current or future activities</t>
  </si>
  <si>
    <t>https://helsing.ai</t>
  </si>
  <si>
    <t>L-004</t>
  </si>
  <si>
    <t>L-005</t>
  </si>
  <si>
    <t>L-006</t>
  </si>
  <si>
    <t>L-007</t>
  </si>
  <si>
    <t>L-008</t>
  </si>
  <si>
    <t>L-009</t>
  </si>
  <si>
    <t>L-010</t>
  </si>
  <si>
    <t>L-011</t>
  </si>
  <si>
    <t>L-012</t>
  </si>
  <si>
    <t>L-013</t>
  </si>
  <si>
    <t>L-014</t>
  </si>
  <si>
    <t>L-015</t>
  </si>
  <si>
    <t>L-016</t>
  </si>
  <si>
    <t>L-017</t>
  </si>
  <si>
    <t>L-018</t>
  </si>
  <si>
    <t>L-019</t>
  </si>
  <si>
    <t>L-020</t>
  </si>
  <si>
    <t>L-021</t>
  </si>
  <si>
    <t>L-022</t>
  </si>
  <si>
    <t>L-023</t>
  </si>
  <si>
    <t>L-024</t>
  </si>
  <si>
    <t>L-025</t>
  </si>
  <si>
    <t>L-026</t>
  </si>
  <si>
    <t>L-027</t>
  </si>
  <si>
    <t>L-028</t>
  </si>
  <si>
    <t>L-029</t>
  </si>
  <si>
    <t>L-030</t>
  </si>
  <si>
    <t>L-031</t>
  </si>
  <si>
    <t>L-032</t>
  </si>
  <si>
    <t>L-033</t>
  </si>
  <si>
    <t>L-034</t>
  </si>
  <si>
    <t>L-035</t>
  </si>
  <si>
    <t>L-036</t>
  </si>
  <si>
    <t>L-037</t>
  </si>
  <si>
    <t>L-038</t>
  </si>
  <si>
    <t>L-039</t>
  </si>
  <si>
    <t>L-040</t>
  </si>
  <si>
    <t>L-041</t>
  </si>
  <si>
    <t>L-042</t>
  </si>
  <si>
    <t>L-043</t>
  </si>
  <si>
    <t>L-044</t>
  </si>
  <si>
    <t>L-045</t>
  </si>
  <si>
    <t>L-046</t>
  </si>
  <si>
    <t>L-047</t>
  </si>
  <si>
    <t>L-048</t>
  </si>
  <si>
    <t>L-049</t>
  </si>
  <si>
    <t>L-050</t>
  </si>
  <si>
    <t>L-051</t>
  </si>
  <si>
    <t>L-052</t>
  </si>
  <si>
    <t>L-053</t>
  </si>
  <si>
    <t>L-054</t>
  </si>
  <si>
    <t>L-055</t>
  </si>
  <si>
    <t>L-056</t>
  </si>
  <si>
    <t>L-057</t>
  </si>
  <si>
    <t>L-058</t>
  </si>
  <si>
    <t>L-059</t>
  </si>
  <si>
    <t>L-060</t>
  </si>
  <si>
    <t>L-061</t>
  </si>
  <si>
    <t>L-062</t>
  </si>
  <si>
    <t>L-063</t>
  </si>
  <si>
    <t>L-064</t>
  </si>
  <si>
    <t>L-065</t>
  </si>
  <si>
    <t>L-066</t>
  </si>
  <si>
    <t>L-067</t>
  </si>
  <si>
    <t>L-068</t>
  </si>
  <si>
    <t>L-069</t>
  </si>
  <si>
    <t>L-070</t>
  </si>
  <si>
    <t>L-071</t>
  </si>
  <si>
    <t>L-072</t>
  </si>
  <si>
    <t>L-073</t>
  </si>
  <si>
    <t>L-074</t>
  </si>
  <si>
    <t>L-075</t>
  </si>
  <si>
    <t>L-076</t>
  </si>
  <si>
    <t>L-077</t>
  </si>
  <si>
    <t>L-078</t>
  </si>
  <si>
    <t>L-079</t>
  </si>
  <si>
    <t>L-080</t>
  </si>
  <si>
    <t>L-081</t>
  </si>
  <si>
    <t>L-082</t>
  </si>
  <si>
    <t>L-083</t>
  </si>
  <si>
    <t>L-084</t>
  </si>
  <si>
    <t>L-085</t>
  </si>
  <si>
    <t>L-086</t>
  </si>
  <si>
    <t>L-087</t>
  </si>
  <si>
    <t>L-088</t>
  </si>
  <si>
    <t>L-089</t>
  </si>
  <si>
    <t>L-090</t>
  </si>
  <si>
    <t>L-091</t>
  </si>
  <si>
    <t>L-092</t>
  </si>
  <si>
    <t>L-093</t>
  </si>
  <si>
    <t>L-094</t>
  </si>
  <si>
    <t>L-095</t>
  </si>
  <si>
    <t>L-096</t>
  </si>
  <si>
    <t>L-097</t>
  </si>
  <si>
    <t>L-098</t>
  </si>
  <si>
    <t>L-099</t>
  </si>
  <si>
    <t>L-100</t>
  </si>
  <si>
    <t>L-101</t>
  </si>
  <si>
    <t>L-102</t>
  </si>
  <si>
    <t>L-103</t>
  </si>
  <si>
    <t>L-104</t>
  </si>
  <si>
    <t>L-105</t>
  </si>
  <si>
    <t>L-106</t>
  </si>
  <si>
    <t>L-107</t>
  </si>
  <si>
    <t>L-108</t>
  </si>
  <si>
    <t>L-109</t>
  </si>
  <si>
    <t>L-110</t>
  </si>
  <si>
    <t>L-111</t>
  </si>
  <si>
    <t>L-112</t>
  </si>
  <si>
    <t>L-113</t>
  </si>
  <si>
    <t>L-114</t>
  </si>
  <si>
    <t>L-115</t>
  </si>
  <si>
    <t>L-116</t>
  </si>
  <si>
    <t>L-117</t>
  </si>
  <si>
    <t>L-118</t>
  </si>
  <si>
    <t>L-119</t>
  </si>
  <si>
    <t>L-120</t>
  </si>
  <si>
    <t>L-121</t>
  </si>
  <si>
    <t>L-122</t>
  </si>
  <si>
    <t>L-123</t>
  </si>
  <si>
    <t>L-124</t>
  </si>
  <si>
    <t>L-125</t>
  </si>
  <si>
    <t>L-126</t>
  </si>
  <si>
    <t>L-127</t>
  </si>
  <si>
    <t>L-128</t>
  </si>
  <si>
    <t>L-129</t>
  </si>
  <si>
    <t>L-130</t>
  </si>
  <si>
    <t>L-131</t>
  </si>
  <si>
    <t>L-132</t>
  </si>
  <si>
    <t>L-133</t>
  </si>
  <si>
    <t>L-134</t>
  </si>
  <si>
    <t>L-135</t>
  </si>
  <si>
    <t>L-136</t>
  </si>
  <si>
    <t>L-137</t>
  </si>
  <si>
    <t>L-138</t>
  </si>
  <si>
    <t>L-139</t>
  </si>
  <si>
    <t>L-140</t>
  </si>
  <si>
    <t>L-141</t>
  </si>
  <si>
    <t>L-142</t>
  </si>
  <si>
    <t>L-143</t>
  </si>
  <si>
    <t>L-144</t>
  </si>
  <si>
    <t>L-145</t>
  </si>
  <si>
    <t>L-146</t>
  </si>
  <si>
    <t>L-147</t>
  </si>
  <si>
    <t>L-148</t>
  </si>
  <si>
    <t>L-149</t>
  </si>
  <si>
    <t>L-150</t>
  </si>
  <si>
    <t>L-151</t>
  </si>
  <si>
    <t>L-152</t>
  </si>
  <si>
    <t>L-153</t>
  </si>
  <si>
    <t>L-154</t>
  </si>
  <si>
    <t>L-155</t>
  </si>
  <si>
    <t>L-156</t>
  </si>
  <si>
    <t>L-157</t>
  </si>
  <si>
    <t>L-158</t>
  </si>
  <si>
    <t>L-159</t>
  </si>
  <si>
    <t>L-160</t>
  </si>
  <si>
    <t>L-161</t>
  </si>
  <si>
    <t>L-162</t>
  </si>
  <si>
    <t>L-163</t>
  </si>
  <si>
    <t>L-164</t>
  </si>
  <si>
    <t>L-165</t>
  </si>
  <si>
    <t>L-166</t>
  </si>
  <si>
    <t>L-167</t>
  </si>
  <si>
    <t>L-168</t>
  </si>
  <si>
    <t>L-169</t>
  </si>
  <si>
    <t>L-170</t>
  </si>
  <si>
    <t>L-171</t>
  </si>
  <si>
    <t>L-172</t>
  </si>
  <si>
    <t>L-173</t>
  </si>
  <si>
    <t>L-174</t>
  </si>
  <si>
    <t>L-175</t>
  </si>
  <si>
    <t>L-176</t>
  </si>
  <si>
    <t>L-177</t>
  </si>
  <si>
    <t>L-178</t>
  </si>
  <si>
    <t>L-179</t>
  </si>
  <si>
    <t>L-180</t>
  </si>
  <si>
    <t>L-181</t>
  </si>
  <si>
    <t>L-182</t>
  </si>
  <si>
    <t>L-183</t>
  </si>
  <si>
    <t>L-184</t>
  </si>
  <si>
    <t>L-185</t>
  </si>
  <si>
    <t>L-186</t>
  </si>
  <si>
    <t>L-187</t>
  </si>
  <si>
    <t>L-188</t>
  </si>
  <si>
    <t>L-189</t>
  </si>
  <si>
    <t>L-190</t>
  </si>
  <si>
    <t>L-191</t>
  </si>
  <si>
    <t>L-192</t>
  </si>
  <si>
    <t>L-193</t>
  </si>
  <si>
    <t>L-194</t>
  </si>
  <si>
    <t>L-195</t>
  </si>
  <si>
    <t>L-196</t>
  </si>
  <si>
    <t>L-197</t>
  </si>
  <si>
    <t>L-198</t>
  </si>
  <si>
    <t>L-199</t>
  </si>
  <si>
    <t>L-200</t>
  </si>
  <si>
    <t>ExoSpace Lead Tracker Dashboard</t>
  </si>
  <si>
    <t>Today</t>
  </si>
  <si>
    <t>Count</t>
  </si>
  <si>
    <t>New</t>
  </si>
  <si>
    <t>Total leads</t>
  </si>
  <si>
    <t>Open leads</t>
  </si>
  <si>
    <t>Replied</t>
  </si>
  <si>
    <t>Meetings booked</t>
  </si>
  <si>
    <t>Proposals sent</t>
  </si>
  <si>
    <t>Qualified</t>
  </si>
  <si>
    <t>Won</t>
  </si>
  <si>
    <t>Lost</t>
  </si>
  <si>
    <t>Negotiation</t>
  </si>
  <si>
    <t>Follow-up overdue</t>
  </si>
  <si>
    <t>Follow-up today</t>
  </si>
  <si>
    <t>Pipeline gross (€)</t>
  </si>
  <si>
    <t>On Hold</t>
  </si>
  <si>
    <t>Weighted pipeline (€)</t>
  </si>
  <si>
    <t>Quick use</t>
  </si>
  <si>
    <t>Filter Leads CRM by Next Follow-up Date &lt;= today, and work row by row.</t>
  </si>
  <si>
    <t>What to do today</t>
  </si>
  <si>
    <t>1. Open Leads CRM</t>
  </si>
  <si>
    <t>2. Filter Status not Won/Lost</t>
  </si>
  <si>
    <t>3. Filter Next Follow-up Date &lt;= today</t>
  </si>
  <si>
    <t>4. Send follow-up and update Last Contact Date</t>
  </si>
  <si>
    <t>5. Set a new Next Follow-up Date</t>
  </si>
  <si>
    <t>6. Update Status and Notes</t>
  </si>
  <si>
    <t>Daily Lead Follow-up Agent Prompt</t>
  </si>
  <si>
    <t>Agisci come il mio Sales Follow-up Agent per ExoSpace.
Obiettivo:
- tenere aggiornata la pipeline lead
- dirmi chi devo contattare oggi
- suggerire follow-up brevi e concreti
- aiutarmi a far avanzare i lead verso call, proposta o chiusura
Quando ti mando l'elenco lead o una copia delle righe del CRM, devi rispondere con:
1. Lead da contattare oggi
2. Priorità A/B/C
3. Follow-up consigliato per ogni lead
4. Bozza email o messaggio LinkedIn
5. Prossima data follow-up consigliata
6. Rischi: freddo, fermo, non qualificato, da chiudere
Regole:
- sii diretto
- orientato a meeting, proposta, incasso
- no teoria
- se un lead è fermo da troppo, proponi close-the-loop message
- se un lead è caldo, proponi call to action precisa
Formato:
Nome azienda | contatto | stato | ultima azione | prossima azione | testo follow-up</t>
  </si>
  <si>
    <t>Sam.Rogerson@helsing.ai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</si>
</sst>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D9F0F0"/>
      </patternFill>
    </fill>
    <fill>
      <patternFill patternType="solid">
        <fgColor rgb="FFE4DFEC"/>
      </patternFill>
    </fill>
  </fills>
  <borders count="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4" borderId="1" xfId="0" applyFill="1" applyBorder="1"/>
    <xf numFmtId="164" fontId="0" fillId="4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3" fillId="6" borderId="1" xfId="0" applyFont="1" applyFill="1" applyBorder="1"/>
    <xf numFmtId="0" fontId="3" fillId="5" borderId="1" xfId="0" applyFont="1" applyFill="1" applyBorder="1"/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2" fillId="2" borderId="2" xfId="0" applyFont="1" applyFill="1" applyBorder="1"/>
    <xf numFmtId="0" fontId="0" fillId="0" borderId="3" xfId="0" applyBorder="1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14" fontId="0" fillId="3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9" fontId="0" fillId="3" borderId="0" xfId="0" applyNumberFormat="1" applyFill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</cellXfs>
  <cellStyles count="1">
    <cellStyle name="Normale" xfId="0" builtinId="0"/>
  </cellStyles>
  <dxfs count="5">
    <dxf>
      <fill>
        <patternFill patternType="solid">
          <fgColor rgb="FFFCE4D6"/>
        </patternFill>
      </fill>
    </dxf>
    <dxf>
      <fill>
        <patternFill patternType="solid">
          <fgColor rgb="FFFDE9E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DE9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10" style="12" customWidth="1"/>
    <col min="2" max="2" width="24" style="12" customWidth="1"/>
    <col min="3" max="3" width="22" style="12" customWidth="1"/>
    <col min="4" max="4" width="18" style="12" customWidth="1"/>
    <col min="5" max="5" width="26" style="12" customWidth="1"/>
    <col min="6" max="6" width="16" style="12" customWidth="1"/>
    <col min="7" max="7" width="12" style="12" customWidth="1"/>
    <col min="8" max="8" width="14" style="12" customWidth="1"/>
    <col min="9" max="9" width="20" style="12" customWidth="1"/>
    <col min="10" max="10" width="15" style="12" customWidth="1"/>
    <col min="11" max="11" width="11" style="12" customWidth="1"/>
    <col min="12" max="12" width="16" style="12" customWidth="1"/>
    <col min="13" max="13" width="15" style="12" customWidth="1"/>
    <col min="14" max="14" width="18" style="12" customWidth="1"/>
    <col min="15" max="15" width="16" style="12" customWidth="1"/>
    <col min="16" max="16" width="14" style="12" customWidth="1"/>
    <col min="17" max="18" width="24" style="12" customWidth="1"/>
    <col min="19" max="19" width="14" style="12" customWidth="1"/>
    <col min="20" max="20" width="12" style="12" customWidth="1"/>
    <col min="21" max="21" width="18" style="12" customWidth="1"/>
    <col min="22" max="22" width="15" style="12" customWidth="1"/>
    <col min="23" max="23" width="14" style="12" customWidth="1"/>
    <col min="24" max="24" width="28" style="12" customWidth="1"/>
    <col min="25" max="26" width="24" style="12" customWidth="1"/>
    <col min="27" max="27" width="12" style="12" customWidth="1"/>
    <col min="28" max="16384" width="8.88671875" style="12"/>
  </cols>
  <sheetData>
    <row r="1" spans="1:27" ht="24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</row>
    <row r="2" spans="1:27" ht="72" x14ac:dyDescent="0.3">
      <c r="A2" s="13" t="s">
        <v>27</v>
      </c>
      <c r="B2" s="14" t="s">
        <v>28</v>
      </c>
      <c r="C2" s="14" t="s">
        <v>29</v>
      </c>
      <c r="D2" s="14" t="s">
        <v>30</v>
      </c>
      <c r="E2" s="14" t="s">
        <v>31</v>
      </c>
      <c r="F2" s="14"/>
      <c r="G2" s="14" t="s">
        <v>32</v>
      </c>
      <c r="H2" s="14" t="s">
        <v>33</v>
      </c>
      <c r="I2" s="14" t="s">
        <v>34</v>
      </c>
      <c r="J2" s="14" t="s">
        <v>35</v>
      </c>
      <c r="K2" s="14">
        <v>70</v>
      </c>
      <c r="L2" s="14" t="s">
        <v>36</v>
      </c>
      <c r="M2" s="15">
        <v>46121</v>
      </c>
      <c r="N2" s="15">
        <v>46127</v>
      </c>
      <c r="O2" s="13">
        <f t="shared" ref="O2:O33" ca="1" si="0">IF(N2="","",N2-TODAY())</f>
        <v>6</v>
      </c>
      <c r="P2" s="14" t="s">
        <v>37</v>
      </c>
      <c r="Q2" s="14" t="s">
        <v>38</v>
      </c>
      <c r="R2" s="14" t="s">
        <v>39</v>
      </c>
      <c r="S2" s="16"/>
      <c r="T2" s="17">
        <v>0.2</v>
      </c>
      <c r="U2" s="18" t="str">
        <f t="shared" ref="U2:U33" si="1">IF(AND(S2&lt;&gt;"",T2&lt;&gt;""),S2*T2,"")</f>
        <v/>
      </c>
      <c r="V2" s="14" t="s">
        <v>40</v>
      </c>
      <c r="W2" s="14" t="s">
        <v>40</v>
      </c>
      <c r="X2" s="14" t="s">
        <v>41</v>
      </c>
      <c r="Y2" s="14" t="s">
        <v>42</v>
      </c>
      <c r="Z2" s="14"/>
      <c r="AA2" s="14" t="s">
        <v>43</v>
      </c>
    </row>
    <row r="3" spans="1:27" ht="72" x14ac:dyDescent="0.3">
      <c r="A3" s="13" t="s">
        <v>44</v>
      </c>
      <c r="B3" s="14" t="s">
        <v>45</v>
      </c>
      <c r="C3" s="14" t="s">
        <v>46</v>
      </c>
      <c r="D3" s="14" t="s">
        <v>30</v>
      </c>
      <c r="E3" s="14" t="s">
        <v>47</v>
      </c>
      <c r="F3" s="14"/>
      <c r="G3" s="14" t="s">
        <v>48</v>
      </c>
      <c r="H3" s="14" t="s">
        <v>49</v>
      </c>
      <c r="I3" s="14" t="s">
        <v>34</v>
      </c>
      <c r="J3" s="14" t="s">
        <v>35</v>
      </c>
      <c r="K3" s="14">
        <v>70</v>
      </c>
      <c r="L3" s="14" t="s">
        <v>36</v>
      </c>
      <c r="M3" s="15">
        <v>46121</v>
      </c>
      <c r="N3" s="15">
        <v>46127</v>
      </c>
      <c r="O3" s="13">
        <f t="shared" ca="1" si="0"/>
        <v>6</v>
      </c>
      <c r="P3" s="14" t="s">
        <v>37</v>
      </c>
      <c r="Q3" s="14" t="s">
        <v>50</v>
      </c>
      <c r="R3" s="14" t="s">
        <v>39</v>
      </c>
      <c r="S3" s="16"/>
      <c r="T3" s="17">
        <v>0.2</v>
      </c>
      <c r="U3" s="18" t="str">
        <f t="shared" si="1"/>
        <v/>
      </c>
      <c r="V3" s="14" t="s">
        <v>40</v>
      </c>
      <c r="W3" s="14" t="s">
        <v>40</v>
      </c>
      <c r="X3" s="14" t="s">
        <v>41</v>
      </c>
      <c r="Y3" s="14" t="s">
        <v>51</v>
      </c>
      <c r="Z3" s="14"/>
      <c r="AA3" s="14" t="s">
        <v>43</v>
      </c>
    </row>
    <row r="4" spans="1:27" ht="72" x14ac:dyDescent="0.3">
      <c r="A4" s="13" t="s">
        <v>52</v>
      </c>
      <c r="B4" s="14" t="s">
        <v>53</v>
      </c>
      <c r="C4" s="14" t="s">
        <v>54</v>
      </c>
      <c r="D4" s="14" t="s">
        <v>30</v>
      </c>
      <c r="E4" s="14" t="s">
        <v>284</v>
      </c>
      <c r="F4" s="14"/>
      <c r="G4" s="14"/>
      <c r="H4" s="14" t="s">
        <v>55</v>
      </c>
      <c r="I4" s="14" t="s">
        <v>34</v>
      </c>
      <c r="J4" s="14" t="s">
        <v>35</v>
      </c>
      <c r="K4" s="14">
        <v>70</v>
      </c>
      <c r="L4" s="14" t="s">
        <v>36</v>
      </c>
      <c r="M4" s="15">
        <v>46121</v>
      </c>
      <c r="N4" s="15">
        <v>46127</v>
      </c>
      <c r="O4" s="13">
        <f t="shared" ca="1" si="0"/>
        <v>6</v>
      </c>
      <c r="P4" s="14" t="s">
        <v>37</v>
      </c>
      <c r="Q4" s="14" t="s">
        <v>56</v>
      </c>
      <c r="R4" s="14" t="s">
        <v>39</v>
      </c>
      <c r="S4" s="16"/>
      <c r="T4" s="17">
        <v>0.2</v>
      </c>
      <c r="U4" s="18" t="str">
        <f t="shared" si="1"/>
        <v/>
      </c>
      <c r="V4" s="14" t="s">
        <v>40</v>
      </c>
      <c r="W4" s="14" t="s">
        <v>40</v>
      </c>
      <c r="X4" s="14" t="s">
        <v>41</v>
      </c>
      <c r="Y4" s="14" t="s">
        <v>57</v>
      </c>
      <c r="Z4" s="14"/>
      <c r="AA4" s="14" t="s">
        <v>43</v>
      </c>
    </row>
    <row r="5" spans="1:27" x14ac:dyDescent="0.3">
      <c r="A5" s="13" t="s">
        <v>58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5"/>
      <c r="O5" s="13" t="str">
        <f t="shared" ca="1" si="0"/>
        <v/>
      </c>
      <c r="P5" s="14"/>
      <c r="Q5" s="14"/>
      <c r="R5" s="14"/>
      <c r="S5" s="16"/>
      <c r="T5" s="17"/>
      <c r="U5" s="18" t="str">
        <f t="shared" si="1"/>
        <v/>
      </c>
      <c r="V5" s="14"/>
      <c r="W5" s="14"/>
      <c r="X5" s="14"/>
      <c r="Y5" s="14"/>
      <c r="Z5" s="14"/>
      <c r="AA5" s="14"/>
    </row>
    <row r="6" spans="1:27" x14ac:dyDescent="0.3">
      <c r="A6" s="13" t="s">
        <v>59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  <c r="N6" s="15"/>
      <c r="O6" s="13" t="str">
        <f t="shared" ca="1" si="0"/>
        <v/>
      </c>
      <c r="P6" s="14"/>
      <c r="Q6" s="14"/>
      <c r="R6" s="14"/>
      <c r="S6" s="16"/>
      <c r="T6" s="17"/>
      <c r="U6" s="18" t="str">
        <f t="shared" si="1"/>
        <v/>
      </c>
      <c r="V6" s="14"/>
      <c r="W6" s="14"/>
      <c r="X6" s="14"/>
      <c r="Y6" s="14"/>
      <c r="Z6" s="14"/>
      <c r="AA6" s="14"/>
    </row>
    <row r="7" spans="1:27" x14ac:dyDescent="0.3">
      <c r="A7" s="13" t="s">
        <v>60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  <c r="N7" s="15"/>
      <c r="O7" s="13" t="str">
        <f t="shared" ca="1" si="0"/>
        <v/>
      </c>
      <c r="P7" s="14"/>
      <c r="Q7" s="14"/>
      <c r="R7" s="14"/>
      <c r="S7" s="16"/>
      <c r="T7" s="17"/>
      <c r="U7" s="18" t="str">
        <f t="shared" si="1"/>
        <v/>
      </c>
      <c r="V7" s="14"/>
      <c r="W7" s="14"/>
      <c r="X7" s="14"/>
      <c r="Y7" s="14"/>
      <c r="Z7" s="14"/>
      <c r="AA7" s="14"/>
    </row>
    <row r="8" spans="1:27" x14ac:dyDescent="0.3">
      <c r="A8" s="13" t="s">
        <v>61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  <c r="N8" s="15"/>
      <c r="O8" s="13" t="str">
        <f t="shared" ca="1" si="0"/>
        <v/>
      </c>
      <c r="P8" s="14"/>
      <c r="Q8" s="14"/>
      <c r="R8" s="14"/>
      <c r="S8" s="16"/>
      <c r="T8" s="17"/>
      <c r="U8" s="18" t="str">
        <f t="shared" si="1"/>
        <v/>
      </c>
      <c r="V8" s="14"/>
      <c r="W8" s="14"/>
      <c r="X8" s="14"/>
      <c r="Y8" s="14"/>
      <c r="Z8" s="14"/>
      <c r="AA8" s="14"/>
    </row>
    <row r="9" spans="1:27" x14ac:dyDescent="0.3">
      <c r="A9" s="13" t="s">
        <v>62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  <c r="N9" s="15"/>
      <c r="O9" s="13" t="str">
        <f t="shared" ca="1" si="0"/>
        <v/>
      </c>
      <c r="P9" s="14"/>
      <c r="Q9" s="14"/>
      <c r="R9" s="14"/>
      <c r="S9" s="16"/>
      <c r="T9" s="17"/>
      <c r="U9" s="18" t="str">
        <f t="shared" si="1"/>
        <v/>
      </c>
      <c r="V9" s="14"/>
      <c r="W9" s="14"/>
      <c r="X9" s="14"/>
      <c r="Y9" s="14"/>
      <c r="Z9" s="14"/>
      <c r="AA9" s="14"/>
    </row>
    <row r="10" spans="1:27" x14ac:dyDescent="0.3">
      <c r="A10" s="13" t="s">
        <v>63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5"/>
      <c r="O10" s="13" t="str">
        <f t="shared" ca="1" si="0"/>
        <v/>
      </c>
      <c r="P10" s="14"/>
      <c r="Q10" s="14"/>
      <c r="R10" s="14"/>
      <c r="S10" s="16"/>
      <c r="T10" s="17"/>
      <c r="U10" s="18" t="str">
        <f t="shared" si="1"/>
        <v/>
      </c>
      <c r="V10" s="14"/>
      <c r="W10" s="14"/>
      <c r="X10" s="14"/>
      <c r="Y10" s="14"/>
      <c r="Z10" s="14"/>
      <c r="AA10" s="14"/>
    </row>
    <row r="11" spans="1:27" x14ac:dyDescent="0.3">
      <c r="A11" s="13" t="s">
        <v>64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  <c r="N11" s="15"/>
      <c r="O11" s="13" t="str">
        <f t="shared" ca="1" si="0"/>
        <v/>
      </c>
      <c r="P11" s="14"/>
      <c r="Q11" s="14"/>
      <c r="R11" s="14"/>
      <c r="S11" s="16"/>
      <c r="T11" s="17"/>
      <c r="U11" s="18" t="str">
        <f t="shared" si="1"/>
        <v/>
      </c>
      <c r="V11" s="14"/>
      <c r="W11" s="14"/>
      <c r="X11" s="14"/>
      <c r="Y11" s="14"/>
      <c r="Z11" s="14"/>
      <c r="AA11" s="14"/>
    </row>
    <row r="12" spans="1:27" x14ac:dyDescent="0.3">
      <c r="A12" s="13" t="s">
        <v>65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/>
      <c r="N12" s="15"/>
      <c r="O12" s="13" t="str">
        <f t="shared" ca="1" si="0"/>
        <v/>
      </c>
      <c r="P12" s="14"/>
      <c r="Q12" s="14"/>
      <c r="R12" s="14"/>
      <c r="S12" s="16"/>
      <c r="T12" s="17"/>
      <c r="U12" s="18" t="str">
        <f t="shared" si="1"/>
        <v/>
      </c>
      <c r="V12" s="14"/>
      <c r="W12" s="14"/>
      <c r="X12" s="14"/>
      <c r="Y12" s="14"/>
      <c r="Z12" s="14"/>
      <c r="AA12" s="14"/>
    </row>
    <row r="13" spans="1:27" x14ac:dyDescent="0.3">
      <c r="A13" s="13" t="s">
        <v>66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  <c r="N13" s="15"/>
      <c r="O13" s="13" t="str">
        <f t="shared" ca="1" si="0"/>
        <v/>
      </c>
      <c r="P13" s="14"/>
      <c r="Q13" s="14"/>
      <c r="R13" s="14"/>
      <c r="S13" s="16"/>
      <c r="T13" s="17"/>
      <c r="U13" s="18" t="str">
        <f t="shared" si="1"/>
        <v/>
      </c>
      <c r="V13" s="14"/>
      <c r="W13" s="14"/>
      <c r="X13" s="14"/>
      <c r="Y13" s="14"/>
      <c r="Z13" s="14"/>
      <c r="AA13" s="14"/>
    </row>
    <row r="14" spans="1:27" x14ac:dyDescent="0.3">
      <c r="A14" s="13" t="s">
        <v>67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5"/>
      <c r="N14" s="15"/>
      <c r="O14" s="13" t="str">
        <f t="shared" ca="1" si="0"/>
        <v/>
      </c>
      <c r="P14" s="14"/>
      <c r="Q14" s="14"/>
      <c r="R14" s="14"/>
      <c r="S14" s="16"/>
      <c r="T14" s="17"/>
      <c r="U14" s="18" t="str">
        <f t="shared" si="1"/>
        <v/>
      </c>
      <c r="V14" s="14"/>
      <c r="W14" s="14"/>
      <c r="X14" s="14"/>
      <c r="Y14" s="14"/>
      <c r="Z14" s="14"/>
      <c r="AA14" s="14"/>
    </row>
    <row r="15" spans="1:27" x14ac:dyDescent="0.3">
      <c r="A15" s="13" t="s">
        <v>68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/>
      <c r="N15" s="15"/>
      <c r="O15" s="13" t="str">
        <f t="shared" ca="1" si="0"/>
        <v/>
      </c>
      <c r="P15" s="14"/>
      <c r="Q15" s="14"/>
      <c r="R15" s="14"/>
      <c r="S15" s="16"/>
      <c r="T15" s="17"/>
      <c r="U15" s="18" t="str">
        <f t="shared" si="1"/>
        <v/>
      </c>
      <c r="V15" s="14"/>
      <c r="W15" s="14"/>
      <c r="X15" s="14"/>
      <c r="Y15" s="14"/>
      <c r="Z15" s="14"/>
      <c r="AA15" s="14"/>
    </row>
    <row r="16" spans="1:27" x14ac:dyDescent="0.3">
      <c r="A16" s="13" t="s">
        <v>69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/>
      <c r="N16" s="15"/>
      <c r="O16" s="13" t="str">
        <f t="shared" ca="1" si="0"/>
        <v/>
      </c>
      <c r="P16" s="14"/>
      <c r="Q16" s="14"/>
      <c r="R16" s="14"/>
      <c r="S16" s="16"/>
      <c r="T16" s="17"/>
      <c r="U16" s="18" t="str">
        <f t="shared" si="1"/>
        <v/>
      </c>
      <c r="V16" s="14"/>
      <c r="W16" s="14"/>
      <c r="X16" s="14"/>
      <c r="Y16" s="14"/>
      <c r="Z16" s="14"/>
      <c r="AA16" s="14"/>
    </row>
    <row r="17" spans="1:27" x14ac:dyDescent="0.3">
      <c r="A17" s="13" t="s">
        <v>70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5"/>
      <c r="N17" s="15"/>
      <c r="O17" s="13" t="str">
        <f t="shared" ca="1" si="0"/>
        <v/>
      </c>
      <c r="P17" s="14"/>
      <c r="Q17" s="14"/>
      <c r="R17" s="14"/>
      <c r="S17" s="16"/>
      <c r="T17" s="17"/>
      <c r="U17" s="18" t="str">
        <f t="shared" si="1"/>
        <v/>
      </c>
      <c r="V17" s="14"/>
      <c r="W17" s="14"/>
      <c r="X17" s="14"/>
      <c r="Y17" s="14"/>
      <c r="Z17" s="14"/>
      <c r="AA17" s="14"/>
    </row>
    <row r="18" spans="1:27" x14ac:dyDescent="0.3">
      <c r="A18" s="13" t="s">
        <v>71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  <c r="N18" s="15"/>
      <c r="O18" s="13" t="str">
        <f t="shared" ca="1" si="0"/>
        <v/>
      </c>
      <c r="P18" s="14"/>
      <c r="Q18" s="14"/>
      <c r="R18" s="14"/>
      <c r="S18" s="16"/>
      <c r="T18" s="17"/>
      <c r="U18" s="18" t="str">
        <f t="shared" si="1"/>
        <v/>
      </c>
      <c r="V18" s="14"/>
      <c r="W18" s="14"/>
      <c r="X18" s="14"/>
      <c r="Y18" s="14"/>
      <c r="Z18" s="14"/>
      <c r="AA18" s="14"/>
    </row>
    <row r="19" spans="1:27" x14ac:dyDescent="0.3">
      <c r="A19" s="13" t="s">
        <v>72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  <c r="N19" s="15"/>
      <c r="O19" s="13" t="str">
        <f t="shared" ca="1" si="0"/>
        <v/>
      </c>
      <c r="P19" s="14"/>
      <c r="Q19" s="14"/>
      <c r="R19" s="14"/>
      <c r="S19" s="16"/>
      <c r="T19" s="17"/>
      <c r="U19" s="18" t="str">
        <f t="shared" si="1"/>
        <v/>
      </c>
      <c r="V19" s="14"/>
      <c r="W19" s="14"/>
      <c r="X19" s="14"/>
      <c r="Y19" s="14"/>
      <c r="Z19" s="14"/>
      <c r="AA19" s="14"/>
    </row>
    <row r="20" spans="1:27" x14ac:dyDescent="0.3">
      <c r="A20" s="13" t="s">
        <v>73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  <c r="N20" s="15"/>
      <c r="O20" s="13" t="str">
        <f t="shared" ca="1" si="0"/>
        <v/>
      </c>
      <c r="P20" s="14"/>
      <c r="Q20" s="14"/>
      <c r="R20" s="14"/>
      <c r="S20" s="16"/>
      <c r="T20" s="17"/>
      <c r="U20" s="18" t="str">
        <f t="shared" si="1"/>
        <v/>
      </c>
      <c r="V20" s="14"/>
      <c r="W20" s="14"/>
      <c r="X20" s="14"/>
      <c r="Y20" s="14"/>
      <c r="Z20" s="14"/>
      <c r="AA20" s="14"/>
    </row>
    <row r="21" spans="1:27" x14ac:dyDescent="0.3">
      <c r="A21" s="13" t="s">
        <v>74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  <c r="N21" s="15"/>
      <c r="O21" s="13" t="str">
        <f t="shared" ca="1" si="0"/>
        <v/>
      </c>
      <c r="P21" s="14"/>
      <c r="Q21" s="14"/>
      <c r="R21" s="14"/>
      <c r="S21" s="16"/>
      <c r="T21" s="17"/>
      <c r="U21" s="18" t="str">
        <f t="shared" si="1"/>
        <v/>
      </c>
      <c r="V21" s="14"/>
      <c r="W21" s="14"/>
      <c r="X21" s="14"/>
      <c r="Y21" s="14"/>
      <c r="Z21" s="14"/>
      <c r="AA21" s="14"/>
    </row>
    <row r="22" spans="1:27" x14ac:dyDescent="0.3">
      <c r="A22" s="13" t="s">
        <v>75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/>
      <c r="N22" s="15"/>
      <c r="O22" s="13" t="str">
        <f t="shared" ca="1" si="0"/>
        <v/>
      </c>
      <c r="P22" s="14"/>
      <c r="Q22" s="14"/>
      <c r="R22" s="14"/>
      <c r="S22" s="16"/>
      <c r="T22" s="17"/>
      <c r="U22" s="18" t="str">
        <f t="shared" si="1"/>
        <v/>
      </c>
      <c r="V22" s="14"/>
      <c r="W22" s="14"/>
      <c r="X22" s="14"/>
      <c r="Y22" s="14"/>
      <c r="Z22" s="14"/>
      <c r="AA22" s="14"/>
    </row>
    <row r="23" spans="1:27" x14ac:dyDescent="0.3">
      <c r="A23" s="13" t="s">
        <v>76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5"/>
      <c r="N23" s="15"/>
      <c r="O23" s="13" t="str">
        <f t="shared" ca="1" si="0"/>
        <v/>
      </c>
      <c r="P23" s="14"/>
      <c r="Q23" s="14"/>
      <c r="R23" s="14"/>
      <c r="S23" s="16"/>
      <c r="T23" s="17"/>
      <c r="U23" s="18" t="str">
        <f t="shared" si="1"/>
        <v/>
      </c>
      <c r="V23" s="14"/>
      <c r="W23" s="14"/>
      <c r="X23" s="14"/>
      <c r="Y23" s="14"/>
      <c r="Z23" s="14"/>
      <c r="AA23" s="14"/>
    </row>
    <row r="24" spans="1:27" x14ac:dyDescent="0.3">
      <c r="A24" s="13" t="s">
        <v>77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/>
      <c r="N24" s="15"/>
      <c r="O24" s="13" t="str">
        <f t="shared" ca="1" si="0"/>
        <v/>
      </c>
      <c r="P24" s="14"/>
      <c r="Q24" s="14"/>
      <c r="R24" s="14"/>
      <c r="S24" s="16"/>
      <c r="T24" s="17"/>
      <c r="U24" s="18" t="str">
        <f t="shared" si="1"/>
        <v/>
      </c>
      <c r="V24" s="14"/>
      <c r="W24" s="14"/>
      <c r="X24" s="14"/>
      <c r="Y24" s="14"/>
      <c r="Z24" s="14"/>
      <c r="AA24" s="14"/>
    </row>
    <row r="25" spans="1:27" x14ac:dyDescent="0.3">
      <c r="A25" s="13" t="s">
        <v>78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/>
      <c r="N25" s="15"/>
      <c r="O25" s="13" t="str">
        <f t="shared" ca="1" si="0"/>
        <v/>
      </c>
      <c r="P25" s="14"/>
      <c r="Q25" s="14"/>
      <c r="R25" s="14"/>
      <c r="S25" s="16"/>
      <c r="T25" s="17"/>
      <c r="U25" s="18" t="str">
        <f t="shared" si="1"/>
        <v/>
      </c>
      <c r="V25" s="14"/>
      <c r="W25" s="14"/>
      <c r="X25" s="14"/>
      <c r="Y25" s="14"/>
      <c r="Z25" s="14"/>
      <c r="AA25" s="14"/>
    </row>
    <row r="26" spans="1:27" x14ac:dyDescent="0.3">
      <c r="A26" s="13" t="s">
        <v>79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5"/>
      <c r="N26" s="15"/>
      <c r="O26" s="13" t="str">
        <f t="shared" ca="1" si="0"/>
        <v/>
      </c>
      <c r="P26" s="14"/>
      <c r="Q26" s="14"/>
      <c r="R26" s="14"/>
      <c r="S26" s="16"/>
      <c r="T26" s="17"/>
      <c r="U26" s="18" t="str">
        <f t="shared" si="1"/>
        <v/>
      </c>
      <c r="V26" s="14"/>
      <c r="W26" s="14"/>
      <c r="X26" s="14"/>
      <c r="Y26" s="14"/>
      <c r="Z26" s="14"/>
      <c r="AA26" s="14"/>
    </row>
    <row r="27" spans="1:27" x14ac:dyDescent="0.3">
      <c r="A27" s="13" t="s">
        <v>80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  <c r="N27" s="15"/>
      <c r="O27" s="13" t="str">
        <f t="shared" ca="1" si="0"/>
        <v/>
      </c>
      <c r="P27" s="14"/>
      <c r="Q27" s="14"/>
      <c r="R27" s="14"/>
      <c r="S27" s="16"/>
      <c r="T27" s="17"/>
      <c r="U27" s="18" t="str">
        <f t="shared" si="1"/>
        <v/>
      </c>
      <c r="V27" s="14"/>
      <c r="W27" s="14"/>
      <c r="X27" s="14"/>
      <c r="Y27" s="14"/>
      <c r="Z27" s="14"/>
      <c r="AA27" s="14"/>
    </row>
    <row r="28" spans="1:27" x14ac:dyDescent="0.3">
      <c r="A28" s="13" t="s">
        <v>81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/>
      <c r="N28" s="15"/>
      <c r="O28" s="13" t="str">
        <f t="shared" ca="1" si="0"/>
        <v/>
      </c>
      <c r="P28" s="14"/>
      <c r="Q28" s="14"/>
      <c r="R28" s="14"/>
      <c r="S28" s="16"/>
      <c r="T28" s="17"/>
      <c r="U28" s="18" t="str">
        <f t="shared" si="1"/>
        <v/>
      </c>
      <c r="V28" s="14"/>
      <c r="W28" s="14"/>
      <c r="X28" s="14"/>
      <c r="Y28" s="14"/>
      <c r="Z28" s="14"/>
      <c r="AA28" s="14"/>
    </row>
    <row r="29" spans="1:27" x14ac:dyDescent="0.3">
      <c r="A29" s="13" t="s">
        <v>82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5"/>
      <c r="N29" s="15"/>
      <c r="O29" s="13" t="str">
        <f t="shared" ca="1" si="0"/>
        <v/>
      </c>
      <c r="P29" s="14"/>
      <c r="Q29" s="14"/>
      <c r="R29" s="14"/>
      <c r="S29" s="16"/>
      <c r="T29" s="17"/>
      <c r="U29" s="18" t="str">
        <f t="shared" si="1"/>
        <v/>
      </c>
      <c r="V29" s="14"/>
      <c r="W29" s="14"/>
      <c r="X29" s="14"/>
      <c r="Y29" s="14"/>
      <c r="Z29" s="14"/>
      <c r="AA29" s="14"/>
    </row>
    <row r="30" spans="1:27" x14ac:dyDescent="0.3">
      <c r="A30" s="13" t="s">
        <v>83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/>
      <c r="N30" s="15"/>
      <c r="O30" s="13" t="str">
        <f t="shared" ca="1" si="0"/>
        <v/>
      </c>
      <c r="P30" s="14"/>
      <c r="Q30" s="14"/>
      <c r="R30" s="14"/>
      <c r="S30" s="16"/>
      <c r="T30" s="17"/>
      <c r="U30" s="18" t="str">
        <f t="shared" si="1"/>
        <v/>
      </c>
      <c r="V30" s="14"/>
      <c r="W30" s="14"/>
      <c r="X30" s="14"/>
      <c r="Y30" s="14"/>
      <c r="Z30" s="14"/>
      <c r="AA30" s="14"/>
    </row>
    <row r="31" spans="1:27" x14ac:dyDescent="0.3">
      <c r="A31" s="13" t="s">
        <v>84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/>
      <c r="N31" s="15"/>
      <c r="O31" s="13" t="str">
        <f t="shared" ca="1" si="0"/>
        <v/>
      </c>
      <c r="P31" s="14"/>
      <c r="Q31" s="14"/>
      <c r="R31" s="14"/>
      <c r="S31" s="16"/>
      <c r="T31" s="17"/>
      <c r="U31" s="18" t="str">
        <f t="shared" si="1"/>
        <v/>
      </c>
      <c r="V31" s="14"/>
      <c r="W31" s="14"/>
      <c r="X31" s="14"/>
      <c r="Y31" s="14"/>
      <c r="Z31" s="14"/>
      <c r="AA31" s="14"/>
    </row>
    <row r="32" spans="1:27" x14ac:dyDescent="0.3">
      <c r="A32" s="13" t="s">
        <v>85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5"/>
      <c r="N32" s="15"/>
      <c r="O32" s="13" t="str">
        <f t="shared" ca="1" si="0"/>
        <v/>
      </c>
      <c r="P32" s="14"/>
      <c r="Q32" s="14"/>
      <c r="R32" s="14"/>
      <c r="S32" s="16"/>
      <c r="T32" s="17"/>
      <c r="U32" s="18" t="str">
        <f t="shared" si="1"/>
        <v/>
      </c>
      <c r="V32" s="14"/>
      <c r="W32" s="14"/>
      <c r="X32" s="14"/>
      <c r="Y32" s="14"/>
      <c r="Z32" s="14"/>
      <c r="AA32" s="14"/>
    </row>
    <row r="33" spans="1:27" x14ac:dyDescent="0.3">
      <c r="A33" s="13" t="s">
        <v>86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/>
      <c r="N33" s="15"/>
      <c r="O33" s="13" t="str">
        <f t="shared" ca="1" si="0"/>
        <v/>
      </c>
      <c r="P33" s="14"/>
      <c r="Q33" s="14"/>
      <c r="R33" s="14"/>
      <c r="S33" s="16"/>
      <c r="T33" s="17"/>
      <c r="U33" s="18" t="str">
        <f t="shared" si="1"/>
        <v/>
      </c>
      <c r="V33" s="14"/>
      <c r="W33" s="14"/>
      <c r="X33" s="14"/>
      <c r="Y33" s="14"/>
      <c r="Z33" s="14"/>
      <c r="AA33" s="14"/>
    </row>
    <row r="34" spans="1:27" x14ac:dyDescent="0.3">
      <c r="A34" s="13" t="s">
        <v>87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/>
      <c r="N34" s="15"/>
      <c r="O34" s="13" t="str">
        <f t="shared" ref="O34:O65" ca="1" si="2">IF(N34="","",N34-TODAY())</f>
        <v/>
      </c>
      <c r="P34" s="14"/>
      <c r="Q34" s="14"/>
      <c r="R34" s="14"/>
      <c r="S34" s="16"/>
      <c r="T34" s="17"/>
      <c r="U34" s="18" t="str">
        <f t="shared" ref="U34:U65" si="3">IF(AND(S34&lt;&gt;"",T34&lt;&gt;""),S34*T34,"")</f>
        <v/>
      </c>
      <c r="V34" s="14"/>
      <c r="W34" s="14"/>
      <c r="X34" s="14"/>
      <c r="Y34" s="14"/>
      <c r="Z34" s="14"/>
      <c r="AA34" s="14"/>
    </row>
    <row r="35" spans="1:27" x14ac:dyDescent="0.3">
      <c r="A35" s="13" t="s">
        <v>88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5"/>
      <c r="N35" s="15"/>
      <c r="O35" s="13" t="str">
        <f t="shared" ca="1" si="2"/>
        <v/>
      </c>
      <c r="P35" s="14"/>
      <c r="Q35" s="14"/>
      <c r="R35" s="14"/>
      <c r="S35" s="16"/>
      <c r="T35" s="17"/>
      <c r="U35" s="18" t="str">
        <f t="shared" si="3"/>
        <v/>
      </c>
      <c r="V35" s="14"/>
      <c r="W35" s="14"/>
      <c r="X35" s="14"/>
      <c r="Y35" s="14"/>
      <c r="Z35" s="14"/>
      <c r="AA35" s="14"/>
    </row>
    <row r="36" spans="1:27" x14ac:dyDescent="0.3">
      <c r="A36" s="13" t="s">
        <v>89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5"/>
      <c r="N36" s="15"/>
      <c r="O36" s="13" t="str">
        <f t="shared" ca="1" si="2"/>
        <v/>
      </c>
      <c r="P36" s="14"/>
      <c r="Q36" s="14"/>
      <c r="R36" s="14"/>
      <c r="S36" s="16"/>
      <c r="T36" s="17"/>
      <c r="U36" s="18" t="str">
        <f t="shared" si="3"/>
        <v/>
      </c>
      <c r="V36" s="14"/>
      <c r="W36" s="14"/>
      <c r="X36" s="14"/>
      <c r="Y36" s="14"/>
      <c r="Z36" s="14"/>
      <c r="AA36" s="14"/>
    </row>
    <row r="37" spans="1:27" x14ac:dyDescent="0.3">
      <c r="A37" s="13" t="s">
        <v>90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/>
      <c r="N37" s="15"/>
      <c r="O37" s="13" t="str">
        <f t="shared" ca="1" si="2"/>
        <v/>
      </c>
      <c r="P37" s="14"/>
      <c r="Q37" s="14"/>
      <c r="R37" s="14"/>
      <c r="S37" s="16"/>
      <c r="T37" s="17"/>
      <c r="U37" s="18" t="str">
        <f t="shared" si="3"/>
        <v/>
      </c>
      <c r="V37" s="14"/>
      <c r="W37" s="14"/>
      <c r="X37" s="14"/>
      <c r="Y37" s="14"/>
      <c r="Z37" s="14"/>
      <c r="AA37" s="14"/>
    </row>
    <row r="38" spans="1:27" x14ac:dyDescent="0.3">
      <c r="A38" s="13" t="s">
        <v>91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5"/>
      <c r="N38" s="15"/>
      <c r="O38" s="13" t="str">
        <f t="shared" ca="1" si="2"/>
        <v/>
      </c>
      <c r="P38" s="14"/>
      <c r="Q38" s="14"/>
      <c r="R38" s="14"/>
      <c r="S38" s="16"/>
      <c r="T38" s="17"/>
      <c r="U38" s="18" t="str">
        <f t="shared" si="3"/>
        <v/>
      </c>
      <c r="V38" s="14"/>
      <c r="W38" s="14"/>
      <c r="X38" s="14"/>
      <c r="Y38" s="14"/>
      <c r="Z38" s="14"/>
      <c r="AA38" s="14"/>
    </row>
    <row r="39" spans="1:27" x14ac:dyDescent="0.3">
      <c r="A39" s="13" t="s">
        <v>92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5"/>
      <c r="N39" s="15"/>
      <c r="O39" s="13" t="str">
        <f t="shared" ca="1" si="2"/>
        <v/>
      </c>
      <c r="P39" s="14"/>
      <c r="Q39" s="14"/>
      <c r="R39" s="14"/>
      <c r="S39" s="16"/>
      <c r="T39" s="17"/>
      <c r="U39" s="18" t="str">
        <f t="shared" si="3"/>
        <v/>
      </c>
      <c r="V39" s="14"/>
      <c r="W39" s="14"/>
      <c r="X39" s="14"/>
      <c r="Y39" s="14"/>
      <c r="Z39" s="14"/>
      <c r="AA39" s="14"/>
    </row>
    <row r="40" spans="1:27" x14ac:dyDescent="0.3">
      <c r="A40" s="13" t="s">
        <v>93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5"/>
      <c r="N40" s="15"/>
      <c r="O40" s="13" t="str">
        <f t="shared" ca="1" si="2"/>
        <v/>
      </c>
      <c r="P40" s="14"/>
      <c r="Q40" s="14"/>
      <c r="R40" s="14"/>
      <c r="S40" s="16"/>
      <c r="T40" s="17"/>
      <c r="U40" s="18" t="str">
        <f t="shared" si="3"/>
        <v/>
      </c>
      <c r="V40" s="14"/>
      <c r="W40" s="14"/>
      <c r="X40" s="14"/>
      <c r="Y40" s="14"/>
      <c r="Z40" s="14"/>
      <c r="AA40" s="14"/>
    </row>
    <row r="41" spans="1:27" x14ac:dyDescent="0.3">
      <c r="A41" s="13" t="s">
        <v>94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/>
      <c r="N41" s="15"/>
      <c r="O41" s="13" t="str">
        <f t="shared" ca="1" si="2"/>
        <v/>
      </c>
      <c r="P41" s="14"/>
      <c r="Q41" s="14"/>
      <c r="R41" s="14"/>
      <c r="S41" s="16"/>
      <c r="T41" s="17"/>
      <c r="U41" s="18" t="str">
        <f t="shared" si="3"/>
        <v/>
      </c>
      <c r="V41" s="14"/>
      <c r="W41" s="14"/>
      <c r="X41" s="14"/>
      <c r="Y41" s="14"/>
      <c r="Z41" s="14"/>
      <c r="AA41" s="14"/>
    </row>
    <row r="42" spans="1:27" x14ac:dyDescent="0.3">
      <c r="A42" s="13" t="s">
        <v>95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5"/>
      <c r="N42" s="15"/>
      <c r="O42" s="13" t="str">
        <f t="shared" ca="1" si="2"/>
        <v/>
      </c>
      <c r="P42" s="14"/>
      <c r="Q42" s="14"/>
      <c r="R42" s="14"/>
      <c r="S42" s="16"/>
      <c r="T42" s="17"/>
      <c r="U42" s="18" t="str">
        <f t="shared" si="3"/>
        <v/>
      </c>
      <c r="V42" s="14"/>
      <c r="W42" s="14"/>
      <c r="X42" s="14"/>
      <c r="Y42" s="14"/>
      <c r="Z42" s="14"/>
      <c r="AA42" s="14"/>
    </row>
    <row r="43" spans="1:27" x14ac:dyDescent="0.3">
      <c r="A43" s="13" t="s">
        <v>96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5"/>
      <c r="N43" s="15"/>
      <c r="O43" s="13" t="str">
        <f t="shared" ca="1" si="2"/>
        <v/>
      </c>
      <c r="P43" s="14"/>
      <c r="Q43" s="14"/>
      <c r="R43" s="14"/>
      <c r="S43" s="16"/>
      <c r="T43" s="17"/>
      <c r="U43" s="18" t="str">
        <f t="shared" si="3"/>
        <v/>
      </c>
      <c r="V43" s="14"/>
      <c r="W43" s="14"/>
      <c r="X43" s="14"/>
      <c r="Y43" s="14"/>
      <c r="Z43" s="14"/>
      <c r="AA43" s="14"/>
    </row>
    <row r="44" spans="1:27" x14ac:dyDescent="0.3">
      <c r="A44" s="13" t="s">
        <v>97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5"/>
      <c r="N44" s="15"/>
      <c r="O44" s="13" t="str">
        <f t="shared" ca="1" si="2"/>
        <v/>
      </c>
      <c r="P44" s="14"/>
      <c r="Q44" s="14"/>
      <c r="R44" s="14"/>
      <c r="S44" s="16"/>
      <c r="T44" s="17"/>
      <c r="U44" s="18" t="str">
        <f t="shared" si="3"/>
        <v/>
      </c>
      <c r="V44" s="14"/>
      <c r="W44" s="14"/>
      <c r="X44" s="14"/>
      <c r="Y44" s="14"/>
      <c r="Z44" s="14"/>
      <c r="AA44" s="14"/>
    </row>
    <row r="45" spans="1:27" x14ac:dyDescent="0.3">
      <c r="A45" s="13" t="s">
        <v>98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5"/>
      <c r="N45" s="15"/>
      <c r="O45" s="13" t="str">
        <f t="shared" ca="1" si="2"/>
        <v/>
      </c>
      <c r="P45" s="14"/>
      <c r="Q45" s="14"/>
      <c r="R45" s="14"/>
      <c r="S45" s="16"/>
      <c r="T45" s="17"/>
      <c r="U45" s="18" t="str">
        <f t="shared" si="3"/>
        <v/>
      </c>
      <c r="V45" s="14"/>
      <c r="W45" s="14"/>
      <c r="X45" s="14"/>
      <c r="Y45" s="14"/>
      <c r="Z45" s="14"/>
      <c r="AA45" s="14"/>
    </row>
    <row r="46" spans="1:27" x14ac:dyDescent="0.3">
      <c r="A46" s="13" t="s">
        <v>99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5"/>
      <c r="N46" s="15"/>
      <c r="O46" s="13" t="str">
        <f t="shared" ca="1" si="2"/>
        <v/>
      </c>
      <c r="P46" s="14"/>
      <c r="Q46" s="14"/>
      <c r="R46" s="14"/>
      <c r="S46" s="16"/>
      <c r="T46" s="17"/>
      <c r="U46" s="18" t="str">
        <f t="shared" si="3"/>
        <v/>
      </c>
      <c r="V46" s="14"/>
      <c r="W46" s="14"/>
      <c r="X46" s="14"/>
      <c r="Y46" s="14"/>
      <c r="Z46" s="14"/>
      <c r="AA46" s="14"/>
    </row>
    <row r="47" spans="1:27" x14ac:dyDescent="0.3">
      <c r="A47" s="13" t="s">
        <v>100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5"/>
      <c r="N47" s="15"/>
      <c r="O47" s="13" t="str">
        <f t="shared" ca="1" si="2"/>
        <v/>
      </c>
      <c r="P47" s="14"/>
      <c r="Q47" s="14"/>
      <c r="R47" s="14"/>
      <c r="S47" s="16"/>
      <c r="T47" s="17"/>
      <c r="U47" s="18" t="str">
        <f t="shared" si="3"/>
        <v/>
      </c>
      <c r="V47" s="14"/>
      <c r="W47" s="14"/>
      <c r="X47" s="14"/>
      <c r="Y47" s="14"/>
      <c r="Z47" s="14"/>
      <c r="AA47" s="14"/>
    </row>
    <row r="48" spans="1:27" x14ac:dyDescent="0.3">
      <c r="A48" s="13" t="s">
        <v>101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5"/>
      <c r="N48" s="15"/>
      <c r="O48" s="13" t="str">
        <f t="shared" ca="1" si="2"/>
        <v/>
      </c>
      <c r="P48" s="14"/>
      <c r="Q48" s="14"/>
      <c r="R48" s="14"/>
      <c r="S48" s="16"/>
      <c r="T48" s="17"/>
      <c r="U48" s="18" t="str">
        <f t="shared" si="3"/>
        <v/>
      </c>
      <c r="V48" s="14"/>
      <c r="W48" s="14"/>
      <c r="X48" s="14"/>
      <c r="Y48" s="14"/>
      <c r="Z48" s="14"/>
      <c r="AA48" s="14"/>
    </row>
    <row r="49" spans="1:27" x14ac:dyDescent="0.3">
      <c r="A49" s="13" t="s">
        <v>102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5"/>
      <c r="N49" s="15"/>
      <c r="O49" s="13" t="str">
        <f t="shared" ca="1" si="2"/>
        <v/>
      </c>
      <c r="P49" s="14"/>
      <c r="Q49" s="14"/>
      <c r="R49" s="14"/>
      <c r="S49" s="16"/>
      <c r="T49" s="17"/>
      <c r="U49" s="18" t="str">
        <f t="shared" si="3"/>
        <v/>
      </c>
      <c r="V49" s="14"/>
      <c r="W49" s="14"/>
      <c r="X49" s="14"/>
      <c r="Y49" s="14"/>
      <c r="Z49" s="14"/>
      <c r="AA49" s="14"/>
    </row>
    <row r="50" spans="1:27" x14ac:dyDescent="0.3">
      <c r="A50" s="13" t="s">
        <v>103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5"/>
      <c r="N50" s="15"/>
      <c r="O50" s="13" t="str">
        <f t="shared" ca="1" si="2"/>
        <v/>
      </c>
      <c r="P50" s="14"/>
      <c r="Q50" s="14"/>
      <c r="R50" s="14"/>
      <c r="S50" s="16"/>
      <c r="T50" s="17"/>
      <c r="U50" s="18" t="str">
        <f t="shared" si="3"/>
        <v/>
      </c>
      <c r="V50" s="14"/>
      <c r="W50" s="14"/>
      <c r="X50" s="14"/>
      <c r="Y50" s="14"/>
      <c r="Z50" s="14"/>
      <c r="AA50" s="14"/>
    </row>
    <row r="51" spans="1:27" x14ac:dyDescent="0.3">
      <c r="A51" s="13" t="s">
        <v>104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5"/>
      <c r="N51" s="15"/>
      <c r="O51" s="13" t="str">
        <f t="shared" ca="1" si="2"/>
        <v/>
      </c>
      <c r="P51" s="14"/>
      <c r="Q51" s="14"/>
      <c r="R51" s="14"/>
      <c r="S51" s="16"/>
      <c r="T51" s="17"/>
      <c r="U51" s="18" t="str">
        <f t="shared" si="3"/>
        <v/>
      </c>
      <c r="V51" s="14"/>
      <c r="W51" s="14"/>
      <c r="X51" s="14"/>
      <c r="Y51" s="14"/>
      <c r="Z51" s="14"/>
      <c r="AA51" s="14"/>
    </row>
    <row r="52" spans="1:27" x14ac:dyDescent="0.3">
      <c r="A52" s="13" t="s">
        <v>105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/>
      <c r="N52" s="15"/>
      <c r="O52" s="13" t="str">
        <f t="shared" ca="1" si="2"/>
        <v/>
      </c>
      <c r="P52" s="14"/>
      <c r="Q52" s="14"/>
      <c r="R52" s="14"/>
      <c r="S52" s="16"/>
      <c r="T52" s="17"/>
      <c r="U52" s="18" t="str">
        <f t="shared" si="3"/>
        <v/>
      </c>
      <c r="V52" s="14"/>
      <c r="W52" s="14"/>
      <c r="X52" s="14"/>
      <c r="Y52" s="14"/>
      <c r="Z52" s="14"/>
      <c r="AA52" s="14"/>
    </row>
    <row r="53" spans="1:27" x14ac:dyDescent="0.3">
      <c r="A53" s="13" t="s">
        <v>106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5"/>
      <c r="N53" s="15"/>
      <c r="O53" s="13" t="str">
        <f t="shared" ca="1" si="2"/>
        <v/>
      </c>
      <c r="P53" s="14"/>
      <c r="Q53" s="14"/>
      <c r="R53" s="14"/>
      <c r="S53" s="16"/>
      <c r="T53" s="17"/>
      <c r="U53" s="18" t="str">
        <f t="shared" si="3"/>
        <v/>
      </c>
      <c r="V53" s="14"/>
      <c r="W53" s="14"/>
      <c r="X53" s="14"/>
      <c r="Y53" s="14"/>
      <c r="Z53" s="14"/>
      <c r="AA53" s="14"/>
    </row>
    <row r="54" spans="1:27" x14ac:dyDescent="0.3">
      <c r="A54" s="13" t="s">
        <v>107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5"/>
      <c r="N54" s="15"/>
      <c r="O54" s="13" t="str">
        <f t="shared" ca="1" si="2"/>
        <v/>
      </c>
      <c r="P54" s="14"/>
      <c r="Q54" s="14"/>
      <c r="R54" s="14"/>
      <c r="S54" s="16"/>
      <c r="T54" s="17"/>
      <c r="U54" s="18" t="str">
        <f t="shared" si="3"/>
        <v/>
      </c>
      <c r="V54" s="14"/>
      <c r="W54" s="14"/>
      <c r="X54" s="14"/>
      <c r="Y54" s="14"/>
      <c r="Z54" s="14"/>
      <c r="AA54" s="14"/>
    </row>
    <row r="55" spans="1:27" x14ac:dyDescent="0.3">
      <c r="A55" s="13" t="s">
        <v>108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5"/>
      <c r="N55" s="15"/>
      <c r="O55" s="13" t="str">
        <f t="shared" ca="1" si="2"/>
        <v/>
      </c>
      <c r="P55" s="14"/>
      <c r="Q55" s="14"/>
      <c r="R55" s="14"/>
      <c r="S55" s="16"/>
      <c r="T55" s="17"/>
      <c r="U55" s="18" t="str">
        <f t="shared" si="3"/>
        <v/>
      </c>
      <c r="V55" s="14"/>
      <c r="W55" s="14"/>
      <c r="X55" s="14"/>
      <c r="Y55" s="14"/>
      <c r="Z55" s="14"/>
      <c r="AA55" s="14"/>
    </row>
    <row r="56" spans="1:27" x14ac:dyDescent="0.3">
      <c r="A56" s="13" t="s">
        <v>109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5"/>
      <c r="N56" s="15"/>
      <c r="O56" s="13" t="str">
        <f t="shared" ca="1" si="2"/>
        <v/>
      </c>
      <c r="P56" s="14"/>
      <c r="Q56" s="14"/>
      <c r="R56" s="14"/>
      <c r="S56" s="16"/>
      <c r="T56" s="17"/>
      <c r="U56" s="18" t="str">
        <f t="shared" si="3"/>
        <v/>
      </c>
      <c r="V56" s="14"/>
      <c r="W56" s="14"/>
      <c r="X56" s="14"/>
      <c r="Y56" s="14"/>
      <c r="Z56" s="14"/>
      <c r="AA56" s="14"/>
    </row>
    <row r="57" spans="1:27" x14ac:dyDescent="0.3">
      <c r="A57" s="13" t="s">
        <v>110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5"/>
      <c r="N57" s="15"/>
      <c r="O57" s="13" t="str">
        <f t="shared" ca="1" si="2"/>
        <v/>
      </c>
      <c r="P57" s="14"/>
      <c r="Q57" s="14"/>
      <c r="R57" s="14"/>
      <c r="S57" s="16"/>
      <c r="T57" s="17"/>
      <c r="U57" s="18" t="str">
        <f t="shared" si="3"/>
        <v/>
      </c>
      <c r="V57" s="14"/>
      <c r="W57" s="14"/>
      <c r="X57" s="14"/>
      <c r="Y57" s="14"/>
      <c r="Z57" s="14"/>
      <c r="AA57" s="14"/>
    </row>
    <row r="58" spans="1:27" x14ac:dyDescent="0.3">
      <c r="A58" s="13" t="s">
        <v>111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5"/>
      <c r="N58" s="15"/>
      <c r="O58" s="13" t="str">
        <f t="shared" ca="1" si="2"/>
        <v/>
      </c>
      <c r="P58" s="14"/>
      <c r="Q58" s="14"/>
      <c r="R58" s="14"/>
      <c r="S58" s="16"/>
      <c r="T58" s="17"/>
      <c r="U58" s="18" t="str">
        <f t="shared" si="3"/>
        <v/>
      </c>
      <c r="V58" s="14"/>
      <c r="W58" s="14"/>
      <c r="X58" s="14"/>
      <c r="Y58" s="14"/>
      <c r="Z58" s="14"/>
      <c r="AA58" s="14"/>
    </row>
    <row r="59" spans="1:27" x14ac:dyDescent="0.3">
      <c r="A59" s="13" t="s">
        <v>112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5"/>
      <c r="N59" s="15"/>
      <c r="O59" s="13" t="str">
        <f t="shared" ca="1" si="2"/>
        <v/>
      </c>
      <c r="P59" s="14"/>
      <c r="Q59" s="14"/>
      <c r="R59" s="14"/>
      <c r="S59" s="16"/>
      <c r="T59" s="17"/>
      <c r="U59" s="18" t="str">
        <f t="shared" si="3"/>
        <v/>
      </c>
      <c r="V59" s="14"/>
      <c r="W59" s="14"/>
      <c r="X59" s="14"/>
      <c r="Y59" s="14"/>
      <c r="Z59" s="14"/>
      <c r="AA59" s="14"/>
    </row>
    <row r="60" spans="1:27" x14ac:dyDescent="0.3">
      <c r="A60" s="13" t="s">
        <v>113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5"/>
      <c r="N60" s="15"/>
      <c r="O60" s="13" t="str">
        <f t="shared" ca="1" si="2"/>
        <v/>
      </c>
      <c r="P60" s="14"/>
      <c r="Q60" s="14"/>
      <c r="R60" s="14"/>
      <c r="S60" s="16"/>
      <c r="T60" s="17"/>
      <c r="U60" s="18" t="str">
        <f t="shared" si="3"/>
        <v/>
      </c>
      <c r="V60" s="14"/>
      <c r="W60" s="14"/>
      <c r="X60" s="14"/>
      <c r="Y60" s="14"/>
      <c r="Z60" s="14"/>
      <c r="AA60" s="14"/>
    </row>
    <row r="61" spans="1:27" x14ac:dyDescent="0.3">
      <c r="A61" s="13" t="s">
        <v>114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5"/>
      <c r="N61" s="15"/>
      <c r="O61" s="13" t="str">
        <f t="shared" ca="1" si="2"/>
        <v/>
      </c>
      <c r="P61" s="14"/>
      <c r="Q61" s="14"/>
      <c r="R61" s="14"/>
      <c r="S61" s="16"/>
      <c r="T61" s="17"/>
      <c r="U61" s="18" t="str">
        <f t="shared" si="3"/>
        <v/>
      </c>
      <c r="V61" s="14"/>
      <c r="W61" s="14"/>
      <c r="X61" s="14"/>
      <c r="Y61" s="14"/>
      <c r="Z61" s="14"/>
      <c r="AA61" s="14"/>
    </row>
    <row r="62" spans="1:27" x14ac:dyDescent="0.3">
      <c r="A62" s="13" t="s">
        <v>115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5"/>
      <c r="N62" s="15"/>
      <c r="O62" s="13" t="str">
        <f t="shared" ca="1" si="2"/>
        <v/>
      </c>
      <c r="P62" s="14"/>
      <c r="Q62" s="14"/>
      <c r="R62" s="14"/>
      <c r="S62" s="16"/>
      <c r="T62" s="17"/>
      <c r="U62" s="18" t="str">
        <f t="shared" si="3"/>
        <v/>
      </c>
      <c r="V62" s="14"/>
      <c r="W62" s="14"/>
      <c r="X62" s="14"/>
      <c r="Y62" s="14"/>
      <c r="Z62" s="14"/>
      <c r="AA62" s="14"/>
    </row>
    <row r="63" spans="1:27" x14ac:dyDescent="0.3">
      <c r="A63" s="13" t="s">
        <v>116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/>
      <c r="N63" s="15"/>
      <c r="O63" s="13" t="str">
        <f t="shared" ca="1" si="2"/>
        <v/>
      </c>
      <c r="P63" s="14"/>
      <c r="Q63" s="14"/>
      <c r="R63" s="14"/>
      <c r="S63" s="16"/>
      <c r="T63" s="17"/>
      <c r="U63" s="18" t="str">
        <f t="shared" si="3"/>
        <v/>
      </c>
      <c r="V63" s="14"/>
      <c r="W63" s="14"/>
      <c r="X63" s="14"/>
      <c r="Y63" s="14"/>
      <c r="Z63" s="14"/>
      <c r="AA63" s="14"/>
    </row>
    <row r="64" spans="1:27" x14ac:dyDescent="0.3">
      <c r="A64" s="13" t="s">
        <v>117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/>
      <c r="N64" s="15"/>
      <c r="O64" s="13" t="str">
        <f t="shared" ca="1" si="2"/>
        <v/>
      </c>
      <c r="P64" s="14"/>
      <c r="Q64" s="14"/>
      <c r="R64" s="14"/>
      <c r="S64" s="16"/>
      <c r="T64" s="17"/>
      <c r="U64" s="18" t="str">
        <f t="shared" si="3"/>
        <v/>
      </c>
      <c r="V64" s="14"/>
      <c r="W64" s="14"/>
      <c r="X64" s="14"/>
      <c r="Y64" s="14"/>
      <c r="Z64" s="14"/>
      <c r="AA64" s="14"/>
    </row>
    <row r="65" spans="1:27" x14ac:dyDescent="0.3">
      <c r="A65" s="13" t="s">
        <v>118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/>
      <c r="N65" s="15"/>
      <c r="O65" s="13" t="str">
        <f t="shared" ca="1" si="2"/>
        <v/>
      </c>
      <c r="P65" s="14"/>
      <c r="Q65" s="14"/>
      <c r="R65" s="14"/>
      <c r="S65" s="16"/>
      <c r="T65" s="17"/>
      <c r="U65" s="18" t="str">
        <f t="shared" si="3"/>
        <v/>
      </c>
      <c r="V65" s="14"/>
      <c r="W65" s="14"/>
      <c r="X65" s="14"/>
      <c r="Y65" s="14"/>
      <c r="Z65" s="14"/>
      <c r="AA65" s="14"/>
    </row>
    <row r="66" spans="1:27" x14ac:dyDescent="0.3">
      <c r="A66" s="13" t="s">
        <v>119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5"/>
      <c r="N66" s="15"/>
      <c r="O66" s="13" t="str">
        <f t="shared" ref="O66:O97" ca="1" si="4">IF(N66="","",N66-TODAY())</f>
        <v/>
      </c>
      <c r="P66" s="14"/>
      <c r="Q66" s="14"/>
      <c r="R66" s="14"/>
      <c r="S66" s="16"/>
      <c r="T66" s="17"/>
      <c r="U66" s="18" t="str">
        <f t="shared" ref="U66:U97" si="5">IF(AND(S66&lt;&gt;"",T66&lt;&gt;""),S66*T66,"")</f>
        <v/>
      </c>
      <c r="V66" s="14"/>
      <c r="W66" s="14"/>
      <c r="X66" s="14"/>
      <c r="Y66" s="14"/>
      <c r="Z66" s="14"/>
      <c r="AA66" s="14"/>
    </row>
    <row r="67" spans="1:27" x14ac:dyDescent="0.3">
      <c r="A67" s="13" t="s">
        <v>120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5"/>
      <c r="N67" s="15"/>
      <c r="O67" s="13" t="str">
        <f t="shared" ca="1" si="4"/>
        <v/>
      </c>
      <c r="P67" s="14"/>
      <c r="Q67" s="14"/>
      <c r="R67" s="14"/>
      <c r="S67" s="16"/>
      <c r="T67" s="17"/>
      <c r="U67" s="18" t="str">
        <f t="shared" si="5"/>
        <v/>
      </c>
      <c r="V67" s="14"/>
      <c r="W67" s="14"/>
      <c r="X67" s="14"/>
      <c r="Y67" s="14"/>
      <c r="Z67" s="14"/>
      <c r="AA67" s="14"/>
    </row>
    <row r="68" spans="1:27" x14ac:dyDescent="0.3">
      <c r="A68" s="13" t="s">
        <v>121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5"/>
      <c r="N68" s="15"/>
      <c r="O68" s="13" t="str">
        <f t="shared" ca="1" si="4"/>
        <v/>
      </c>
      <c r="P68" s="14"/>
      <c r="Q68" s="14"/>
      <c r="R68" s="14"/>
      <c r="S68" s="16"/>
      <c r="T68" s="17"/>
      <c r="U68" s="18" t="str">
        <f t="shared" si="5"/>
        <v/>
      </c>
      <c r="V68" s="14"/>
      <c r="W68" s="14"/>
      <c r="X68" s="14"/>
      <c r="Y68" s="14"/>
      <c r="Z68" s="14"/>
      <c r="AA68" s="14"/>
    </row>
    <row r="69" spans="1:27" x14ac:dyDescent="0.3">
      <c r="A69" s="13" t="s">
        <v>122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5"/>
      <c r="N69" s="15"/>
      <c r="O69" s="13" t="str">
        <f t="shared" ca="1" si="4"/>
        <v/>
      </c>
      <c r="P69" s="14"/>
      <c r="Q69" s="14"/>
      <c r="R69" s="14"/>
      <c r="S69" s="16"/>
      <c r="T69" s="17"/>
      <c r="U69" s="18" t="str">
        <f t="shared" si="5"/>
        <v/>
      </c>
      <c r="V69" s="14"/>
      <c r="W69" s="14"/>
      <c r="X69" s="14"/>
      <c r="Y69" s="14"/>
      <c r="Z69" s="14"/>
      <c r="AA69" s="14"/>
    </row>
    <row r="70" spans="1:27" x14ac:dyDescent="0.3">
      <c r="A70" s="13" t="s">
        <v>123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5"/>
      <c r="N70" s="15"/>
      <c r="O70" s="13" t="str">
        <f t="shared" ca="1" si="4"/>
        <v/>
      </c>
      <c r="P70" s="14"/>
      <c r="Q70" s="14"/>
      <c r="R70" s="14"/>
      <c r="S70" s="16"/>
      <c r="T70" s="17"/>
      <c r="U70" s="18" t="str">
        <f t="shared" si="5"/>
        <v/>
      </c>
      <c r="V70" s="14"/>
      <c r="W70" s="14"/>
      <c r="X70" s="14"/>
      <c r="Y70" s="14"/>
      <c r="Z70" s="14"/>
      <c r="AA70" s="14"/>
    </row>
    <row r="71" spans="1:27" x14ac:dyDescent="0.3">
      <c r="A71" s="13" t="s">
        <v>124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5"/>
      <c r="N71" s="15"/>
      <c r="O71" s="13" t="str">
        <f t="shared" ca="1" si="4"/>
        <v/>
      </c>
      <c r="P71" s="14"/>
      <c r="Q71" s="14"/>
      <c r="R71" s="14"/>
      <c r="S71" s="16"/>
      <c r="T71" s="17"/>
      <c r="U71" s="18" t="str">
        <f t="shared" si="5"/>
        <v/>
      </c>
      <c r="V71" s="14"/>
      <c r="W71" s="14"/>
      <c r="X71" s="14"/>
      <c r="Y71" s="14"/>
      <c r="Z71" s="14"/>
      <c r="AA71" s="14"/>
    </row>
    <row r="72" spans="1:27" x14ac:dyDescent="0.3">
      <c r="A72" s="13" t="s">
        <v>125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5"/>
      <c r="N72" s="15"/>
      <c r="O72" s="13" t="str">
        <f t="shared" ca="1" si="4"/>
        <v/>
      </c>
      <c r="P72" s="14"/>
      <c r="Q72" s="14"/>
      <c r="R72" s="14"/>
      <c r="S72" s="16"/>
      <c r="T72" s="17"/>
      <c r="U72" s="18" t="str">
        <f t="shared" si="5"/>
        <v/>
      </c>
      <c r="V72" s="14"/>
      <c r="W72" s="14"/>
      <c r="X72" s="14"/>
      <c r="Y72" s="14"/>
      <c r="Z72" s="14"/>
      <c r="AA72" s="14"/>
    </row>
    <row r="73" spans="1:27" x14ac:dyDescent="0.3">
      <c r="A73" s="13" t="s">
        <v>126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5"/>
      <c r="N73" s="15"/>
      <c r="O73" s="13" t="str">
        <f t="shared" ca="1" si="4"/>
        <v/>
      </c>
      <c r="P73" s="14"/>
      <c r="Q73" s="14"/>
      <c r="R73" s="14"/>
      <c r="S73" s="16"/>
      <c r="T73" s="17"/>
      <c r="U73" s="18" t="str">
        <f t="shared" si="5"/>
        <v/>
      </c>
      <c r="V73" s="14"/>
      <c r="W73" s="14"/>
      <c r="X73" s="14"/>
      <c r="Y73" s="14"/>
      <c r="Z73" s="14"/>
      <c r="AA73" s="14"/>
    </row>
    <row r="74" spans="1:27" x14ac:dyDescent="0.3">
      <c r="A74" s="13" t="s">
        <v>127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5"/>
      <c r="N74" s="15"/>
      <c r="O74" s="13" t="str">
        <f t="shared" ca="1" si="4"/>
        <v/>
      </c>
      <c r="P74" s="14"/>
      <c r="Q74" s="14"/>
      <c r="R74" s="14"/>
      <c r="S74" s="16"/>
      <c r="T74" s="17"/>
      <c r="U74" s="18" t="str">
        <f t="shared" si="5"/>
        <v/>
      </c>
      <c r="V74" s="14"/>
      <c r="W74" s="14"/>
      <c r="X74" s="14"/>
      <c r="Y74" s="14"/>
      <c r="Z74" s="14"/>
      <c r="AA74" s="14"/>
    </row>
    <row r="75" spans="1:27" x14ac:dyDescent="0.3">
      <c r="A75" s="13" t="s">
        <v>128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5"/>
      <c r="N75" s="15"/>
      <c r="O75" s="13" t="str">
        <f t="shared" ca="1" si="4"/>
        <v/>
      </c>
      <c r="P75" s="14"/>
      <c r="Q75" s="14"/>
      <c r="R75" s="14"/>
      <c r="S75" s="16"/>
      <c r="T75" s="17"/>
      <c r="U75" s="18" t="str">
        <f t="shared" si="5"/>
        <v/>
      </c>
      <c r="V75" s="14"/>
      <c r="W75" s="14"/>
      <c r="X75" s="14"/>
      <c r="Y75" s="14"/>
      <c r="Z75" s="14"/>
      <c r="AA75" s="14"/>
    </row>
    <row r="76" spans="1:27" x14ac:dyDescent="0.3">
      <c r="A76" s="13" t="s">
        <v>129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5"/>
      <c r="N76" s="15"/>
      <c r="O76" s="13" t="str">
        <f t="shared" ca="1" si="4"/>
        <v/>
      </c>
      <c r="P76" s="14"/>
      <c r="Q76" s="14"/>
      <c r="R76" s="14"/>
      <c r="S76" s="16"/>
      <c r="T76" s="17"/>
      <c r="U76" s="18" t="str">
        <f t="shared" si="5"/>
        <v/>
      </c>
      <c r="V76" s="14"/>
      <c r="W76" s="14"/>
      <c r="X76" s="14"/>
      <c r="Y76" s="14"/>
      <c r="Z76" s="14"/>
      <c r="AA76" s="14"/>
    </row>
    <row r="77" spans="1:27" x14ac:dyDescent="0.3">
      <c r="A77" s="13" t="s">
        <v>130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5"/>
      <c r="N77" s="15"/>
      <c r="O77" s="13" t="str">
        <f t="shared" ca="1" si="4"/>
        <v/>
      </c>
      <c r="P77" s="14"/>
      <c r="Q77" s="14"/>
      <c r="R77" s="14"/>
      <c r="S77" s="16"/>
      <c r="T77" s="17"/>
      <c r="U77" s="18" t="str">
        <f t="shared" si="5"/>
        <v/>
      </c>
      <c r="V77" s="14"/>
      <c r="W77" s="14"/>
      <c r="X77" s="14"/>
      <c r="Y77" s="14"/>
      <c r="Z77" s="14"/>
      <c r="AA77" s="14"/>
    </row>
    <row r="78" spans="1:27" x14ac:dyDescent="0.3">
      <c r="A78" s="13" t="s">
        <v>131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5"/>
      <c r="N78" s="15"/>
      <c r="O78" s="13" t="str">
        <f t="shared" ca="1" si="4"/>
        <v/>
      </c>
      <c r="P78" s="14"/>
      <c r="Q78" s="14"/>
      <c r="R78" s="14"/>
      <c r="S78" s="16"/>
      <c r="T78" s="17"/>
      <c r="U78" s="18" t="str">
        <f t="shared" si="5"/>
        <v/>
      </c>
      <c r="V78" s="14"/>
      <c r="W78" s="14"/>
      <c r="X78" s="14"/>
      <c r="Y78" s="14"/>
      <c r="Z78" s="14"/>
      <c r="AA78" s="14"/>
    </row>
    <row r="79" spans="1:27" x14ac:dyDescent="0.3">
      <c r="A79" s="13" t="s">
        <v>132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5"/>
      <c r="N79" s="15"/>
      <c r="O79" s="13" t="str">
        <f t="shared" ca="1" si="4"/>
        <v/>
      </c>
      <c r="P79" s="14"/>
      <c r="Q79" s="14"/>
      <c r="R79" s="14"/>
      <c r="S79" s="16"/>
      <c r="T79" s="17"/>
      <c r="U79" s="18" t="str">
        <f t="shared" si="5"/>
        <v/>
      </c>
      <c r="V79" s="14"/>
      <c r="W79" s="14"/>
      <c r="X79" s="14"/>
      <c r="Y79" s="14"/>
      <c r="Z79" s="14"/>
      <c r="AA79" s="14"/>
    </row>
    <row r="80" spans="1:27" x14ac:dyDescent="0.3">
      <c r="A80" s="13" t="s">
        <v>133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5"/>
      <c r="N80" s="15"/>
      <c r="O80" s="13" t="str">
        <f t="shared" ca="1" si="4"/>
        <v/>
      </c>
      <c r="P80" s="14"/>
      <c r="Q80" s="14"/>
      <c r="R80" s="14"/>
      <c r="S80" s="16"/>
      <c r="T80" s="17"/>
      <c r="U80" s="18" t="str">
        <f t="shared" si="5"/>
        <v/>
      </c>
      <c r="V80" s="14"/>
      <c r="W80" s="14"/>
      <c r="X80" s="14"/>
      <c r="Y80" s="14"/>
      <c r="Z80" s="14"/>
      <c r="AA80" s="14"/>
    </row>
    <row r="81" spans="1:27" x14ac:dyDescent="0.3">
      <c r="A81" s="13" t="s">
        <v>134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5"/>
      <c r="N81" s="15"/>
      <c r="O81" s="13" t="str">
        <f t="shared" ca="1" si="4"/>
        <v/>
      </c>
      <c r="P81" s="14"/>
      <c r="Q81" s="14"/>
      <c r="R81" s="14"/>
      <c r="S81" s="16"/>
      <c r="T81" s="17"/>
      <c r="U81" s="18" t="str">
        <f t="shared" si="5"/>
        <v/>
      </c>
      <c r="V81" s="14"/>
      <c r="W81" s="14"/>
      <c r="X81" s="14"/>
      <c r="Y81" s="14"/>
      <c r="Z81" s="14"/>
      <c r="AA81" s="14"/>
    </row>
    <row r="82" spans="1:27" x14ac:dyDescent="0.3">
      <c r="A82" s="13" t="s">
        <v>135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5"/>
      <c r="N82" s="15"/>
      <c r="O82" s="13" t="str">
        <f t="shared" ca="1" si="4"/>
        <v/>
      </c>
      <c r="P82" s="14"/>
      <c r="Q82" s="14"/>
      <c r="R82" s="14"/>
      <c r="S82" s="16"/>
      <c r="T82" s="17"/>
      <c r="U82" s="18" t="str">
        <f t="shared" si="5"/>
        <v/>
      </c>
      <c r="V82" s="14"/>
      <c r="W82" s="14"/>
      <c r="X82" s="14"/>
      <c r="Y82" s="14"/>
      <c r="Z82" s="14"/>
      <c r="AA82" s="14"/>
    </row>
    <row r="83" spans="1:27" x14ac:dyDescent="0.3">
      <c r="A83" s="13" t="s">
        <v>136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5"/>
      <c r="N83" s="15"/>
      <c r="O83" s="13" t="str">
        <f t="shared" ca="1" si="4"/>
        <v/>
      </c>
      <c r="P83" s="14"/>
      <c r="Q83" s="14"/>
      <c r="R83" s="14"/>
      <c r="S83" s="16"/>
      <c r="T83" s="17"/>
      <c r="U83" s="18" t="str">
        <f t="shared" si="5"/>
        <v/>
      </c>
      <c r="V83" s="14"/>
      <c r="W83" s="14"/>
      <c r="X83" s="14"/>
      <c r="Y83" s="14"/>
      <c r="Z83" s="14"/>
      <c r="AA83" s="14"/>
    </row>
    <row r="84" spans="1:27" x14ac:dyDescent="0.3">
      <c r="A84" s="13" t="s">
        <v>137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5"/>
      <c r="N84" s="15"/>
      <c r="O84" s="13" t="str">
        <f t="shared" ca="1" si="4"/>
        <v/>
      </c>
      <c r="P84" s="14"/>
      <c r="Q84" s="14"/>
      <c r="R84" s="14"/>
      <c r="S84" s="16"/>
      <c r="T84" s="17"/>
      <c r="U84" s="18" t="str">
        <f t="shared" si="5"/>
        <v/>
      </c>
      <c r="V84" s="14"/>
      <c r="W84" s="14"/>
      <c r="X84" s="14"/>
      <c r="Y84" s="14"/>
      <c r="Z84" s="14"/>
      <c r="AA84" s="14"/>
    </row>
    <row r="85" spans="1:27" x14ac:dyDescent="0.3">
      <c r="A85" s="13" t="s">
        <v>138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5"/>
      <c r="N85" s="15"/>
      <c r="O85" s="13" t="str">
        <f t="shared" ca="1" si="4"/>
        <v/>
      </c>
      <c r="P85" s="14"/>
      <c r="Q85" s="14"/>
      <c r="R85" s="14"/>
      <c r="S85" s="16"/>
      <c r="T85" s="17"/>
      <c r="U85" s="18" t="str">
        <f t="shared" si="5"/>
        <v/>
      </c>
      <c r="V85" s="14"/>
      <c r="W85" s="14"/>
      <c r="X85" s="14"/>
      <c r="Y85" s="14"/>
      <c r="Z85" s="14"/>
      <c r="AA85" s="14"/>
    </row>
    <row r="86" spans="1:27" x14ac:dyDescent="0.3">
      <c r="A86" s="13" t="s">
        <v>139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5"/>
      <c r="N86" s="15"/>
      <c r="O86" s="13" t="str">
        <f t="shared" ca="1" si="4"/>
        <v/>
      </c>
      <c r="P86" s="14"/>
      <c r="Q86" s="14"/>
      <c r="R86" s="14"/>
      <c r="S86" s="16"/>
      <c r="T86" s="17"/>
      <c r="U86" s="18" t="str">
        <f t="shared" si="5"/>
        <v/>
      </c>
      <c r="V86" s="14"/>
      <c r="W86" s="14"/>
      <c r="X86" s="14"/>
      <c r="Y86" s="14"/>
      <c r="Z86" s="14"/>
      <c r="AA86" s="14"/>
    </row>
    <row r="87" spans="1:27" x14ac:dyDescent="0.3">
      <c r="A87" s="13" t="s">
        <v>140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5"/>
      <c r="N87" s="15"/>
      <c r="O87" s="13" t="str">
        <f t="shared" ca="1" si="4"/>
        <v/>
      </c>
      <c r="P87" s="14"/>
      <c r="Q87" s="14"/>
      <c r="R87" s="14"/>
      <c r="S87" s="16"/>
      <c r="T87" s="17"/>
      <c r="U87" s="18" t="str">
        <f t="shared" si="5"/>
        <v/>
      </c>
      <c r="V87" s="14"/>
      <c r="W87" s="14"/>
      <c r="X87" s="14"/>
      <c r="Y87" s="14"/>
      <c r="Z87" s="14"/>
      <c r="AA87" s="14"/>
    </row>
    <row r="88" spans="1:27" x14ac:dyDescent="0.3">
      <c r="A88" s="13" t="s">
        <v>141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5"/>
      <c r="N88" s="15"/>
      <c r="O88" s="13" t="str">
        <f t="shared" ca="1" si="4"/>
        <v/>
      </c>
      <c r="P88" s="14"/>
      <c r="Q88" s="14"/>
      <c r="R88" s="14"/>
      <c r="S88" s="16"/>
      <c r="T88" s="17"/>
      <c r="U88" s="18" t="str">
        <f t="shared" si="5"/>
        <v/>
      </c>
      <c r="V88" s="14"/>
      <c r="W88" s="14"/>
      <c r="X88" s="14"/>
      <c r="Y88" s="14"/>
      <c r="Z88" s="14"/>
      <c r="AA88" s="14"/>
    </row>
    <row r="89" spans="1:27" x14ac:dyDescent="0.3">
      <c r="A89" s="13" t="s">
        <v>142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5"/>
      <c r="N89" s="15"/>
      <c r="O89" s="13" t="str">
        <f t="shared" ca="1" si="4"/>
        <v/>
      </c>
      <c r="P89" s="14"/>
      <c r="Q89" s="14"/>
      <c r="R89" s="14"/>
      <c r="S89" s="16"/>
      <c r="T89" s="17"/>
      <c r="U89" s="18" t="str">
        <f t="shared" si="5"/>
        <v/>
      </c>
      <c r="V89" s="14"/>
      <c r="W89" s="14"/>
      <c r="X89" s="14"/>
      <c r="Y89" s="14"/>
      <c r="Z89" s="14"/>
      <c r="AA89" s="14"/>
    </row>
    <row r="90" spans="1:27" x14ac:dyDescent="0.3">
      <c r="A90" s="13" t="s">
        <v>143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5"/>
      <c r="N90" s="15"/>
      <c r="O90" s="13" t="str">
        <f t="shared" ca="1" si="4"/>
        <v/>
      </c>
      <c r="P90" s="14"/>
      <c r="Q90" s="14"/>
      <c r="R90" s="14"/>
      <c r="S90" s="16"/>
      <c r="T90" s="17"/>
      <c r="U90" s="18" t="str">
        <f t="shared" si="5"/>
        <v/>
      </c>
      <c r="V90" s="14"/>
      <c r="W90" s="14"/>
      <c r="X90" s="14"/>
      <c r="Y90" s="14"/>
      <c r="Z90" s="14"/>
      <c r="AA90" s="14"/>
    </row>
    <row r="91" spans="1:27" x14ac:dyDescent="0.3">
      <c r="A91" s="13" t="s">
        <v>144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5"/>
      <c r="N91" s="15"/>
      <c r="O91" s="13" t="str">
        <f t="shared" ca="1" si="4"/>
        <v/>
      </c>
      <c r="P91" s="14"/>
      <c r="Q91" s="14"/>
      <c r="R91" s="14"/>
      <c r="S91" s="16"/>
      <c r="T91" s="17"/>
      <c r="U91" s="18" t="str">
        <f t="shared" si="5"/>
        <v/>
      </c>
      <c r="V91" s="14"/>
      <c r="W91" s="14"/>
      <c r="X91" s="14"/>
      <c r="Y91" s="14"/>
      <c r="Z91" s="14"/>
      <c r="AA91" s="14"/>
    </row>
    <row r="92" spans="1:27" x14ac:dyDescent="0.3">
      <c r="A92" s="13" t="s">
        <v>145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5"/>
      <c r="N92" s="15"/>
      <c r="O92" s="13" t="str">
        <f t="shared" ca="1" si="4"/>
        <v/>
      </c>
      <c r="P92" s="14"/>
      <c r="Q92" s="14"/>
      <c r="R92" s="14"/>
      <c r="S92" s="16"/>
      <c r="T92" s="17"/>
      <c r="U92" s="18" t="str">
        <f t="shared" si="5"/>
        <v/>
      </c>
      <c r="V92" s="14"/>
      <c r="W92" s="14"/>
      <c r="X92" s="14"/>
      <c r="Y92" s="14"/>
      <c r="Z92" s="14"/>
      <c r="AA92" s="14"/>
    </row>
    <row r="93" spans="1:27" x14ac:dyDescent="0.3">
      <c r="A93" s="13" t="s">
        <v>146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5"/>
      <c r="N93" s="15"/>
      <c r="O93" s="13" t="str">
        <f t="shared" ca="1" si="4"/>
        <v/>
      </c>
      <c r="P93" s="14"/>
      <c r="Q93" s="14"/>
      <c r="R93" s="14"/>
      <c r="S93" s="16"/>
      <c r="T93" s="17"/>
      <c r="U93" s="18" t="str">
        <f t="shared" si="5"/>
        <v/>
      </c>
      <c r="V93" s="14"/>
      <c r="W93" s="14"/>
      <c r="X93" s="14"/>
      <c r="Y93" s="14"/>
      <c r="Z93" s="14"/>
      <c r="AA93" s="14"/>
    </row>
    <row r="94" spans="1:27" x14ac:dyDescent="0.3">
      <c r="A94" s="13" t="s">
        <v>147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5"/>
      <c r="N94" s="15"/>
      <c r="O94" s="13" t="str">
        <f t="shared" ca="1" si="4"/>
        <v/>
      </c>
      <c r="P94" s="14"/>
      <c r="Q94" s="14"/>
      <c r="R94" s="14"/>
      <c r="S94" s="16"/>
      <c r="T94" s="17"/>
      <c r="U94" s="18" t="str">
        <f t="shared" si="5"/>
        <v/>
      </c>
      <c r="V94" s="14"/>
      <c r="W94" s="14"/>
      <c r="X94" s="14"/>
      <c r="Y94" s="14"/>
      <c r="Z94" s="14"/>
      <c r="AA94" s="14"/>
    </row>
    <row r="95" spans="1:27" x14ac:dyDescent="0.3">
      <c r="A95" s="13" t="s">
        <v>148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5"/>
      <c r="N95" s="15"/>
      <c r="O95" s="13" t="str">
        <f t="shared" ca="1" si="4"/>
        <v/>
      </c>
      <c r="P95" s="14"/>
      <c r="Q95" s="14"/>
      <c r="R95" s="14"/>
      <c r="S95" s="16"/>
      <c r="T95" s="17"/>
      <c r="U95" s="18" t="str">
        <f t="shared" si="5"/>
        <v/>
      </c>
      <c r="V95" s="14"/>
      <c r="W95" s="14"/>
      <c r="X95" s="14"/>
      <c r="Y95" s="14"/>
      <c r="Z95" s="14"/>
      <c r="AA95" s="14"/>
    </row>
    <row r="96" spans="1:27" x14ac:dyDescent="0.3">
      <c r="A96" s="13" t="s">
        <v>149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5"/>
      <c r="N96" s="15"/>
      <c r="O96" s="13" t="str">
        <f t="shared" ca="1" si="4"/>
        <v/>
      </c>
      <c r="P96" s="14"/>
      <c r="Q96" s="14"/>
      <c r="R96" s="14"/>
      <c r="S96" s="16"/>
      <c r="T96" s="17"/>
      <c r="U96" s="18" t="str">
        <f t="shared" si="5"/>
        <v/>
      </c>
      <c r="V96" s="14"/>
      <c r="W96" s="14"/>
      <c r="X96" s="14"/>
      <c r="Y96" s="14"/>
      <c r="Z96" s="14"/>
      <c r="AA96" s="14"/>
    </row>
    <row r="97" spans="1:27" x14ac:dyDescent="0.3">
      <c r="A97" s="13" t="s">
        <v>150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5"/>
      <c r="N97" s="15"/>
      <c r="O97" s="13" t="str">
        <f t="shared" ca="1" si="4"/>
        <v/>
      </c>
      <c r="P97" s="14"/>
      <c r="Q97" s="14"/>
      <c r="R97" s="14"/>
      <c r="S97" s="16"/>
      <c r="T97" s="17"/>
      <c r="U97" s="18" t="str">
        <f t="shared" si="5"/>
        <v/>
      </c>
      <c r="V97" s="14"/>
      <c r="W97" s="14"/>
      <c r="X97" s="14"/>
      <c r="Y97" s="14"/>
      <c r="Z97" s="14"/>
      <c r="AA97" s="14"/>
    </row>
    <row r="98" spans="1:27" x14ac:dyDescent="0.3">
      <c r="A98" s="13" t="s">
        <v>151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5"/>
      <c r="N98" s="15"/>
      <c r="O98" s="13" t="str">
        <f t="shared" ref="O98:O129" ca="1" si="6">IF(N98="","",N98-TODAY())</f>
        <v/>
      </c>
      <c r="P98" s="14"/>
      <c r="Q98" s="14"/>
      <c r="R98" s="14"/>
      <c r="S98" s="16"/>
      <c r="T98" s="17"/>
      <c r="U98" s="18" t="str">
        <f t="shared" ref="U98:U129" si="7">IF(AND(S98&lt;&gt;"",T98&lt;&gt;""),S98*T98,"")</f>
        <v/>
      </c>
      <c r="V98" s="14"/>
      <c r="W98" s="14"/>
      <c r="X98" s="14"/>
      <c r="Y98" s="14"/>
      <c r="Z98" s="14"/>
      <c r="AA98" s="14"/>
    </row>
    <row r="99" spans="1:27" x14ac:dyDescent="0.3">
      <c r="A99" s="13" t="s">
        <v>152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5"/>
      <c r="N99" s="15"/>
      <c r="O99" s="13" t="str">
        <f t="shared" ca="1" si="6"/>
        <v/>
      </c>
      <c r="P99" s="14"/>
      <c r="Q99" s="14"/>
      <c r="R99" s="14"/>
      <c r="S99" s="16"/>
      <c r="T99" s="17"/>
      <c r="U99" s="18" t="str">
        <f t="shared" si="7"/>
        <v/>
      </c>
      <c r="V99" s="14"/>
      <c r="W99" s="14"/>
      <c r="X99" s="14"/>
      <c r="Y99" s="14"/>
      <c r="Z99" s="14"/>
      <c r="AA99" s="14"/>
    </row>
    <row r="100" spans="1:27" x14ac:dyDescent="0.3">
      <c r="A100" s="13" t="s">
        <v>153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5"/>
      <c r="N100" s="15"/>
      <c r="O100" s="13" t="str">
        <f t="shared" ca="1" si="6"/>
        <v/>
      </c>
      <c r="P100" s="14"/>
      <c r="Q100" s="14"/>
      <c r="R100" s="14"/>
      <c r="S100" s="16"/>
      <c r="T100" s="17"/>
      <c r="U100" s="18" t="str">
        <f t="shared" si="7"/>
        <v/>
      </c>
      <c r="V100" s="14"/>
      <c r="W100" s="14"/>
      <c r="X100" s="14"/>
      <c r="Y100" s="14"/>
      <c r="Z100" s="14"/>
      <c r="AA100" s="14"/>
    </row>
    <row r="101" spans="1:27" x14ac:dyDescent="0.3">
      <c r="A101" s="13" t="s">
        <v>154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5"/>
      <c r="N101" s="15"/>
      <c r="O101" s="13" t="str">
        <f t="shared" ca="1" si="6"/>
        <v/>
      </c>
      <c r="P101" s="14"/>
      <c r="Q101" s="14"/>
      <c r="R101" s="14"/>
      <c r="S101" s="16"/>
      <c r="T101" s="17"/>
      <c r="U101" s="18" t="str">
        <f t="shared" si="7"/>
        <v/>
      </c>
      <c r="V101" s="14"/>
      <c r="W101" s="14"/>
      <c r="X101" s="14"/>
      <c r="Y101" s="14"/>
      <c r="Z101" s="14"/>
      <c r="AA101" s="14"/>
    </row>
    <row r="102" spans="1:27" x14ac:dyDescent="0.3">
      <c r="A102" s="13" t="s">
        <v>155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5"/>
      <c r="N102" s="15"/>
      <c r="O102" s="13" t="str">
        <f t="shared" ca="1" si="6"/>
        <v/>
      </c>
      <c r="P102" s="14"/>
      <c r="Q102" s="14"/>
      <c r="R102" s="14"/>
      <c r="S102" s="16"/>
      <c r="T102" s="17"/>
      <c r="U102" s="18" t="str">
        <f t="shared" si="7"/>
        <v/>
      </c>
      <c r="V102" s="14"/>
      <c r="W102" s="14"/>
      <c r="X102" s="14"/>
      <c r="Y102" s="14"/>
      <c r="Z102" s="14"/>
      <c r="AA102" s="14"/>
    </row>
    <row r="103" spans="1:27" x14ac:dyDescent="0.3">
      <c r="A103" s="13" t="s">
        <v>156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5"/>
      <c r="N103" s="15"/>
      <c r="O103" s="13" t="str">
        <f t="shared" ca="1" si="6"/>
        <v/>
      </c>
      <c r="P103" s="14"/>
      <c r="Q103" s="14"/>
      <c r="R103" s="14"/>
      <c r="S103" s="16"/>
      <c r="T103" s="17"/>
      <c r="U103" s="18" t="str">
        <f t="shared" si="7"/>
        <v/>
      </c>
      <c r="V103" s="14"/>
      <c r="W103" s="14"/>
      <c r="X103" s="14"/>
      <c r="Y103" s="14"/>
      <c r="Z103" s="14"/>
      <c r="AA103" s="14"/>
    </row>
    <row r="104" spans="1:27" x14ac:dyDescent="0.3">
      <c r="A104" s="13" t="s">
        <v>157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5"/>
      <c r="N104" s="15"/>
      <c r="O104" s="13" t="str">
        <f t="shared" ca="1" si="6"/>
        <v/>
      </c>
      <c r="P104" s="14"/>
      <c r="Q104" s="14"/>
      <c r="R104" s="14"/>
      <c r="S104" s="16"/>
      <c r="T104" s="17"/>
      <c r="U104" s="18" t="str">
        <f t="shared" si="7"/>
        <v/>
      </c>
      <c r="V104" s="14"/>
      <c r="W104" s="14"/>
      <c r="X104" s="14"/>
      <c r="Y104" s="14"/>
      <c r="Z104" s="14"/>
      <c r="AA104" s="14"/>
    </row>
    <row r="105" spans="1:27" x14ac:dyDescent="0.3">
      <c r="A105" s="13" t="s">
        <v>158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5"/>
      <c r="N105" s="15"/>
      <c r="O105" s="13" t="str">
        <f t="shared" ca="1" si="6"/>
        <v/>
      </c>
      <c r="P105" s="14"/>
      <c r="Q105" s="14"/>
      <c r="R105" s="14"/>
      <c r="S105" s="16"/>
      <c r="T105" s="17"/>
      <c r="U105" s="18" t="str">
        <f t="shared" si="7"/>
        <v/>
      </c>
      <c r="V105" s="14"/>
      <c r="W105" s="14"/>
      <c r="X105" s="14"/>
      <c r="Y105" s="14"/>
      <c r="Z105" s="14"/>
      <c r="AA105" s="14"/>
    </row>
    <row r="106" spans="1:27" x14ac:dyDescent="0.3">
      <c r="A106" s="13" t="s">
        <v>159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5"/>
      <c r="N106" s="15"/>
      <c r="O106" s="13" t="str">
        <f t="shared" ca="1" si="6"/>
        <v/>
      </c>
      <c r="P106" s="14"/>
      <c r="Q106" s="14"/>
      <c r="R106" s="14"/>
      <c r="S106" s="16"/>
      <c r="T106" s="17"/>
      <c r="U106" s="18" t="str">
        <f t="shared" si="7"/>
        <v/>
      </c>
      <c r="V106" s="14"/>
      <c r="W106" s="14"/>
      <c r="X106" s="14"/>
      <c r="Y106" s="14"/>
      <c r="Z106" s="14"/>
      <c r="AA106" s="14"/>
    </row>
    <row r="107" spans="1:27" x14ac:dyDescent="0.3">
      <c r="A107" s="13" t="s">
        <v>160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5"/>
      <c r="N107" s="15"/>
      <c r="O107" s="13" t="str">
        <f t="shared" ca="1" si="6"/>
        <v/>
      </c>
      <c r="P107" s="14"/>
      <c r="Q107" s="14"/>
      <c r="R107" s="14"/>
      <c r="S107" s="16"/>
      <c r="T107" s="17"/>
      <c r="U107" s="18" t="str">
        <f t="shared" si="7"/>
        <v/>
      </c>
      <c r="V107" s="14"/>
      <c r="W107" s="14"/>
      <c r="X107" s="14"/>
      <c r="Y107" s="14"/>
      <c r="Z107" s="14"/>
      <c r="AA107" s="14"/>
    </row>
    <row r="108" spans="1:27" x14ac:dyDescent="0.3">
      <c r="A108" s="13" t="s">
        <v>161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5"/>
      <c r="N108" s="15"/>
      <c r="O108" s="13" t="str">
        <f t="shared" ca="1" si="6"/>
        <v/>
      </c>
      <c r="P108" s="14"/>
      <c r="Q108" s="14"/>
      <c r="R108" s="14"/>
      <c r="S108" s="16"/>
      <c r="T108" s="17"/>
      <c r="U108" s="18" t="str">
        <f t="shared" si="7"/>
        <v/>
      </c>
      <c r="V108" s="14"/>
      <c r="W108" s="14"/>
      <c r="X108" s="14"/>
      <c r="Y108" s="14"/>
      <c r="Z108" s="14"/>
      <c r="AA108" s="14"/>
    </row>
    <row r="109" spans="1:27" x14ac:dyDescent="0.3">
      <c r="A109" s="13" t="s">
        <v>162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5"/>
      <c r="N109" s="15"/>
      <c r="O109" s="13" t="str">
        <f t="shared" ca="1" si="6"/>
        <v/>
      </c>
      <c r="P109" s="14"/>
      <c r="Q109" s="14"/>
      <c r="R109" s="14"/>
      <c r="S109" s="16"/>
      <c r="T109" s="17"/>
      <c r="U109" s="18" t="str">
        <f t="shared" si="7"/>
        <v/>
      </c>
      <c r="V109" s="14"/>
      <c r="W109" s="14"/>
      <c r="X109" s="14"/>
      <c r="Y109" s="14"/>
      <c r="Z109" s="14"/>
      <c r="AA109" s="14"/>
    </row>
    <row r="110" spans="1:27" x14ac:dyDescent="0.3">
      <c r="A110" s="13" t="s">
        <v>163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5"/>
      <c r="N110" s="15"/>
      <c r="O110" s="13" t="str">
        <f t="shared" ca="1" si="6"/>
        <v/>
      </c>
      <c r="P110" s="14"/>
      <c r="Q110" s="14"/>
      <c r="R110" s="14"/>
      <c r="S110" s="16"/>
      <c r="T110" s="17"/>
      <c r="U110" s="18" t="str">
        <f t="shared" si="7"/>
        <v/>
      </c>
      <c r="V110" s="14"/>
      <c r="W110" s="14"/>
      <c r="X110" s="14"/>
      <c r="Y110" s="14"/>
      <c r="Z110" s="14"/>
      <c r="AA110" s="14"/>
    </row>
    <row r="111" spans="1:27" x14ac:dyDescent="0.3">
      <c r="A111" s="13" t="s">
        <v>164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5"/>
      <c r="N111" s="15"/>
      <c r="O111" s="13" t="str">
        <f t="shared" ca="1" si="6"/>
        <v/>
      </c>
      <c r="P111" s="14"/>
      <c r="Q111" s="14"/>
      <c r="R111" s="14"/>
      <c r="S111" s="16"/>
      <c r="T111" s="17"/>
      <c r="U111" s="18" t="str">
        <f t="shared" si="7"/>
        <v/>
      </c>
      <c r="V111" s="14"/>
      <c r="W111" s="14"/>
      <c r="X111" s="14"/>
      <c r="Y111" s="14"/>
      <c r="Z111" s="14"/>
      <c r="AA111" s="14"/>
    </row>
    <row r="112" spans="1:27" x14ac:dyDescent="0.3">
      <c r="A112" s="13" t="s">
        <v>165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5"/>
      <c r="N112" s="15"/>
      <c r="O112" s="13" t="str">
        <f t="shared" ca="1" si="6"/>
        <v/>
      </c>
      <c r="P112" s="14"/>
      <c r="Q112" s="14"/>
      <c r="R112" s="14"/>
      <c r="S112" s="16"/>
      <c r="T112" s="17"/>
      <c r="U112" s="18" t="str">
        <f t="shared" si="7"/>
        <v/>
      </c>
      <c r="V112" s="14"/>
      <c r="W112" s="14"/>
      <c r="X112" s="14"/>
      <c r="Y112" s="14"/>
      <c r="Z112" s="14"/>
      <c r="AA112" s="14"/>
    </row>
    <row r="113" spans="1:27" x14ac:dyDescent="0.3">
      <c r="A113" s="13" t="s">
        <v>166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5"/>
      <c r="N113" s="15"/>
      <c r="O113" s="13" t="str">
        <f t="shared" ca="1" si="6"/>
        <v/>
      </c>
      <c r="P113" s="14"/>
      <c r="Q113" s="14"/>
      <c r="R113" s="14"/>
      <c r="S113" s="16"/>
      <c r="T113" s="17"/>
      <c r="U113" s="18" t="str">
        <f t="shared" si="7"/>
        <v/>
      </c>
      <c r="V113" s="14"/>
      <c r="W113" s="14"/>
      <c r="X113" s="14"/>
      <c r="Y113" s="14"/>
      <c r="Z113" s="14"/>
      <c r="AA113" s="14"/>
    </row>
    <row r="114" spans="1:27" x14ac:dyDescent="0.3">
      <c r="A114" s="13" t="s">
        <v>167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5"/>
      <c r="N114" s="15"/>
      <c r="O114" s="13" t="str">
        <f t="shared" ca="1" si="6"/>
        <v/>
      </c>
      <c r="P114" s="14"/>
      <c r="Q114" s="14"/>
      <c r="R114" s="14"/>
      <c r="S114" s="16"/>
      <c r="T114" s="17"/>
      <c r="U114" s="18" t="str">
        <f t="shared" si="7"/>
        <v/>
      </c>
      <c r="V114" s="14"/>
      <c r="W114" s="14"/>
      <c r="X114" s="14"/>
      <c r="Y114" s="14"/>
      <c r="Z114" s="14"/>
      <c r="AA114" s="14"/>
    </row>
    <row r="115" spans="1:27" x14ac:dyDescent="0.3">
      <c r="A115" s="13" t="s">
        <v>168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/>
      <c r="N115" s="15"/>
      <c r="O115" s="13" t="str">
        <f t="shared" ca="1" si="6"/>
        <v/>
      </c>
      <c r="P115" s="14"/>
      <c r="Q115" s="14"/>
      <c r="R115" s="14"/>
      <c r="S115" s="16"/>
      <c r="T115" s="17"/>
      <c r="U115" s="18" t="str">
        <f t="shared" si="7"/>
        <v/>
      </c>
      <c r="V115" s="14"/>
      <c r="W115" s="14"/>
      <c r="X115" s="14"/>
      <c r="Y115" s="14"/>
      <c r="Z115" s="14"/>
      <c r="AA115" s="14"/>
    </row>
    <row r="116" spans="1:27" x14ac:dyDescent="0.3">
      <c r="A116" s="13" t="s">
        <v>169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5"/>
      <c r="N116" s="15"/>
      <c r="O116" s="13" t="str">
        <f t="shared" ca="1" si="6"/>
        <v/>
      </c>
      <c r="P116" s="14"/>
      <c r="Q116" s="14"/>
      <c r="R116" s="14"/>
      <c r="S116" s="16"/>
      <c r="T116" s="17"/>
      <c r="U116" s="18" t="str">
        <f t="shared" si="7"/>
        <v/>
      </c>
      <c r="V116" s="14"/>
      <c r="W116" s="14"/>
      <c r="X116" s="14"/>
      <c r="Y116" s="14"/>
      <c r="Z116" s="14"/>
      <c r="AA116" s="14"/>
    </row>
    <row r="117" spans="1:27" x14ac:dyDescent="0.3">
      <c r="A117" s="13" t="s">
        <v>170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5"/>
      <c r="N117" s="15"/>
      <c r="O117" s="13" t="str">
        <f t="shared" ca="1" si="6"/>
        <v/>
      </c>
      <c r="P117" s="14"/>
      <c r="Q117" s="14"/>
      <c r="R117" s="14"/>
      <c r="S117" s="16"/>
      <c r="T117" s="17"/>
      <c r="U117" s="18" t="str">
        <f t="shared" si="7"/>
        <v/>
      </c>
      <c r="V117" s="14"/>
      <c r="W117" s="14"/>
      <c r="X117" s="14"/>
      <c r="Y117" s="14"/>
      <c r="Z117" s="14"/>
      <c r="AA117" s="14"/>
    </row>
    <row r="118" spans="1:27" x14ac:dyDescent="0.3">
      <c r="A118" s="13" t="s">
        <v>171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5"/>
      <c r="N118" s="15"/>
      <c r="O118" s="13" t="str">
        <f t="shared" ca="1" si="6"/>
        <v/>
      </c>
      <c r="P118" s="14"/>
      <c r="Q118" s="14"/>
      <c r="R118" s="14"/>
      <c r="S118" s="16"/>
      <c r="T118" s="17"/>
      <c r="U118" s="18" t="str">
        <f t="shared" si="7"/>
        <v/>
      </c>
      <c r="V118" s="14"/>
      <c r="W118" s="14"/>
      <c r="X118" s="14"/>
      <c r="Y118" s="14"/>
      <c r="Z118" s="14"/>
      <c r="AA118" s="14"/>
    </row>
    <row r="119" spans="1:27" x14ac:dyDescent="0.3">
      <c r="A119" s="13" t="s">
        <v>172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5"/>
      <c r="N119" s="15"/>
      <c r="O119" s="13" t="str">
        <f t="shared" ca="1" si="6"/>
        <v/>
      </c>
      <c r="P119" s="14"/>
      <c r="Q119" s="14"/>
      <c r="R119" s="14"/>
      <c r="S119" s="16"/>
      <c r="T119" s="17"/>
      <c r="U119" s="18" t="str">
        <f t="shared" si="7"/>
        <v/>
      </c>
      <c r="V119" s="14"/>
      <c r="W119" s="14"/>
      <c r="X119" s="14"/>
      <c r="Y119" s="14"/>
      <c r="Z119" s="14"/>
      <c r="AA119" s="14"/>
    </row>
    <row r="120" spans="1:27" x14ac:dyDescent="0.3">
      <c r="A120" s="13" t="s">
        <v>173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5"/>
      <c r="N120" s="15"/>
      <c r="O120" s="13" t="str">
        <f t="shared" ca="1" si="6"/>
        <v/>
      </c>
      <c r="P120" s="14"/>
      <c r="Q120" s="14"/>
      <c r="R120" s="14"/>
      <c r="S120" s="16"/>
      <c r="T120" s="17"/>
      <c r="U120" s="18" t="str">
        <f t="shared" si="7"/>
        <v/>
      </c>
      <c r="V120" s="14"/>
      <c r="W120" s="14"/>
      <c r="X120" s="14"/>
      <c r="Y120" s="14"/>
      <c r="Z120" s="14"/>
      <c r="AA120" s="14"/>
    </row>
    <row r="121" spans="1:27" x14ac:dyDescent="0.3">
      <c r="A121" s="13" t="s">
        <v>174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5"/>
      <c r="N121" s="15"/>
      <c r="O121" s="13" t="str">
        <f t="shared" ca="1" si="6"/>
        <v/>
      </c>
      <c r="P121" s="14"/>
      <c r="Q121" s="14"/>
      <c r="R121" s="14"/>
      <c r="S121" s="16"/>
      <c r="T121" s="17"/>
      <c r="U121" s="18" t="str">
        <f t="shared" si="7"/>
        <v/>
      </c>
      <c r="V121" s="14"/>
      <c r="W121" s="14"/>
      <c r="X121" s="14"/>
      <c r="Y121" s="14"/>
      <c r="Z121" s="14"/>
      <c r="AA121" s="14"/>
    </row>
    <row r="122" spans="1:27" x14ac:dyDescent="0.3">
      <c r="A122" s="13" t="s">
        <v>175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5"/>
      <c r="N122" s="15"/>
      <c r="O122" s="13" t="str">
        <f t="shared" ca="1" si="6"/>
        <v/>
      </c>
      <c r="P122" s="14"/>
      <c r="Q122" s="14"/>
      <c r="R122" s="14"/>
      <c r="S122" s="16"/>
      <c r="T122" s="17"/>
      <c r="U122" s="18" t="str">
        <f t="shared" si="7"/>
        <v/>
      </c>
      <c r="V122" s="14"/>
      <c r="W122" s="14"/>
      <c r="X122" s="14"/>
      <c r="Y122" s="14"/>
      <c r="Z122" s="14"/>
      <c r="AA122" s="14"/>
    </row>
    <row r="123" spans="1:27" x14ac:dyDescent="0.3">
      <c r="A123" s="13" t="s">
        <v>176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5"/>
      <c r="N123" s="15"/>
      <c r="O123" s="13" t="str">
        <f t="shared" ca="1" si="6"/>
        <v/>
      </c>
      <c r="P123" s="14"/>
      <c r="Q123" s="14"/>
      <c r="R123" s="14"/>
      <c r="S123" s="16"/>
      <c r="T123" s="17"/>
      <c r="U123" s="18" t="str">
        <f t="shared" si="7"/>
        <v/>
      </c>
      <c r="V123" s="14"/>
      <c r="W123" s="14"/>
      <c r="X123" s="14"/>
      <c r="Y123" s="14"/>
      <c r="Z123" s="14"/>
      <c r="AA123" s="14"/>
    </row>
    <row r="124" spans="1:27" x14ac:dyDescent="0.3">
      <c r="A124" s="13" t="s">
        <v>177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5"/>
      <c r="N124" s="15"/>
      <c r="O124" s="13" t="str">
        <f t="shared" ca="1" si="6"/>
        <v/>
      </c>
      <c r="P124" s="14"/>
      <c r="Q124" s="14"/>
      <c r="R124" s="14"/>
      <c r="S124" s="16"/>
      <c r="T124" s="17"/>
      <c r="U124" s="18" t="str">
        <f t="shared" si="7"/>
        <v/>
      </c>
      <c r="V124" s="14"/>
      <c r="W124" s="14"/>
      <c r="X124" s="14"/>
      <c r="Y124" s="14"/>
      <c r="Z124" s="14"/>
      <c r="AA124" s="14"/>
    </row>
    <row r="125" spans="1:27" x14ac:dyDescent="0.3">
      <c r="A125" s="13" t="s">
        <v>178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5"/>
      <c r="N125" s="15"/>
      <c r="O125" s="13" t="str">
        <f t="shared" ca="1" si="6"/>
        <v/>
      </c>
      <c r="P125" s="14"/>
      <c r="Q125" s="14"/>
      <c r="R125" s="14"/>
      <c r="S125" s="16"/>
      <c r="T125" s="17"/>
      <c r="U125" s="18" t="str">
        <f t="shared" si="7"/>
        <v/>
      </c>
      <c r="V125" s="14"/>
      <c r="W125" s="14"/>
      <c r="X125" s="14"/>
      <c r="Y125" s="14"/>
      <c r="Z125" s="14"/>
      <c r="AA125" s="14"/>
    </row>
    <row r="126" spans="1:27" x14ac:dyDescent="0.3">
      <c r="A126" s="13" t="s">
        <v>179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5"/>
      <c r="N126" s="15"/>
      <c r="O126" s="13" t="str">
        <f t="shared" ca="1" si="6"/>
        <v/>
      </c>
      <c r="P126" s="14"/>
      <c r="Q126" s="14"/>
      <c r="R126" s="14"/>
      <c r="S126" s="16"/>
      <c r="T126" s="17"/>
      <c r="U126" s="18" t="str">
        <f t="shared" si="7"/>
        <v/>
      </c>
      <c r="V126" s="14"/>
      <c r="W126" s="14"/>
      <c r="X126" s="14"/>
      <c r="Y126" s="14"/>
      <c r="Z126" s="14"/>
      <c r="AA126" s="14"/>
    </row>
    <row r="127" spans="1:27" x14ac:dyDescent="0.3">
      <c r="A127" s="13" t="s">
        <v>180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5"/>
      <c r="N127" s="15"/>
      <c r="O127" s="13" t="str">
        <f t="shared" ca="1" si="6"/>
        <v/>
      </c>
      <c r="P127" s="14"/>
      <c r="Q127" s="14"/>
      <c r="R127" s="14"/>
      <c r="S127" s="16"/>
      <c r="T127" s="17"/>
      <c r="U127" s="18" t="str">
        <f t="shared" si="7"/>
        <v/>
      </c>
      <c r="V127" s="14"/>
      <c r="W127" s="14"/>
      <c r="X127" s="14"/>
      <c r="Y127" s="14"/>
      <c r="Z127" s="14"/>
      <c r="AA127" s="14"/>
    </row>
    <row r="128" spans="1:27" x14ac:dyDescent="0.3">
      <c r="A128" s="13" t="s">
        <v>181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5"/>
      <c r="N128" s="15"/>
      <c r="O128" s="13" t="str">
        <f t="shared" ca="1" si="6"/>
        <v/>
      </c>
      <c r="P128" s="14"/>
      <c r="Q128" s="14"/>
      <c r="R128" s="14"/>
      <c r="S128" s="16"/>
      <c r="T128" s="17"/>
      <c r="U128" s="18" t="str">
        <f t="shared" si="7"/>
        <v/>
      </c>
      <c r="V128" s="14"/>
      <c r="W128" s="14"/>
      <c r="X128" s="14"/>
      <c r="Y128" s="14"/>
      <c r="Z128" s="14"/>
      <c r="AA128" s="14"/>
    </row>
    <row r="129" spans="1:27" x14ac:dyDescent="0.3">
      <c r="A129" s="13" t="s">
        <v>182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5"/>
      <c r="N129" s="15"/>
      <c r="O129" s="13" t="str">
        <f t="shared" ca="1" si="6"/>
        <v/>
      </c>
      <c r="P129" s="14"/>
      <c r="Q129" s="14"/>
      <c r="R129" s="14"/>
      <c r="S129" s="16"/>
      <c r="T129" s="17"/>
      <c r="U129" s="18" t="str">
        <f t="shared" si="7"/>
        <v/>
      </c>
      <c r="V129" s="14"/>
      <c r="W129" s="14"/>
      <c r="X129" s="14"/>
      <c r="Y129" s="14"/>
      <c r="Z129" s="14"/>
      <c r="AA129" s="14"/>
    </row>
    <row r="130" spans="1:27" x14ac:dyDescent="0.3">
      <c r="A130" s="13" t="s">
        <v>183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5"/>
      <c r="N130" s="15"/>
      <c r="O130" s="13" t="str">
        <f t="shared" ref="O130:O161" ca="1" si="8">IF(N130="","",N130-TODAY())</f>
        <v/>
      </c>
      <c r="P130" s="14"/>
      <c r="Q130" s="14"/>
      <c r="R130" s="14"/>
      <c r="S130" s="16"/>
      <c r="T130" s="17"/>
      <c r="U130" s="18" t="str">
        <f t="shared" ref="U130:U161" si="9">IF(AND(S130&lt;&gt;"",T130&lt;&gt;""),S130*T130,"")</f>
        <v/>
      </c>
      <c r="V130" s="14"/>
      <c r="W130" s="14"/>
      <c r="X130" s="14"/>
      <c r="Y130" s="14"/>
      <c r="Z130" s="14"/>
      <c r="AA130" s="14"/>
    </row>
    <row r="131" spans="1:27" x14ac:dyDescent="0.3">
      <c r="A131" s="13" t="s">
        <v>184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5"/>
      <c r="N131" s="15"/>
      <c r="O131" s="13" t="str">
        <f t="shared" ca="1" si="8"/>
        <v/>
      </c>
      <c r="P131" s="14"/>
      <c r="Q131" s="14"/>
      <c r="R131" s="14"/>
      <c r="S131" s="16"/>
      <c r="T131" s="17"/>
      <c r="U131" s="18" t="str">
        <f t="shared" si="9"/>
        <v/>
      </c>
      <c r="V131" s="14"/>
      <c r="W131" s="14"/>
      <c r="X131" s="14"/>
      <c r="Y131" s="14"/>
      <c r="Z131" s="14"/>
      <c r="AA131" s="14"/>
    </row>
    <row r="132" spans="1:27" x14ac:dyDescent="0.3">
      <c r="A132" s="13" t="s">
        <v>185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5"/>
      <c r="N132" s="15"/>
      <c r="O132" s="13" t="str">
        <f t="shared" ca="1" si="8"/>
        <v/>
      </c>
      <c r="P132" s="14"/>
      <c r="Q132" s="14"/>
      <c r="R132" s="14"/>
      <c r="S132" s="16"/>
      <c r="T132" s="17"/>
      <c r="U132" s="18" t="str">
        <f t="shared" si="9"/>
        <v/>
      </c>
      <c r="V132" s="14"/>
      <c r="W132" s="14"/>
      <c r="X132" s="14"/>
      <c r="Y132" s="14"/>
      <c r="Z132" s="14"/>
      <c r="AA132" s="14"/>
    </row>
    <row r="133" spans="1:27" x14ac:dyDescent="0.3">
      <c r="A133" s="13" t="s">
        <v>186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5"/>
      <c r="N133" s="15"/>
      <c r="O133" s="13" t="str">
        <f t="shared" ca="1" si="8"/>
        <v/>
      </c>
      <c r="P133" s="14"/>
      <c r="Q133" s="14"/>
      <c r="R133" s="14"/>
      <c r="S133" s="16"/>
      <c r="T133" s="17"/>
      <c r="U133" s="18" t="str">
        <f t="shared" si="9"/>
        <v/>
      </c>
      <c r="V133" s="14"/>
      <c r="W133" s="14"/>
      <c r="X133" s="14"/>
      <c r="Y133" s="14"/>
      <c r="Z133" s="14"/>
      <c r="AA133" s="14"/>
    </row>
    <row r="134" spans="1:27" x14ac:dyDescent="0.3">
      <c r="A134" s="13" t="s">
        <v>187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5"/>
      <c r="N134" s="15"/>
      <c r="O134" s="13" t="str">
        <f t="shared" ca="1" si="8"/>
        <v/>
      </c>
      <c r="P134" s="14"/>
      <c r="Q134" s="14"/>
      <c r="R134" s="14"/>
      <c r="S134" s="16"/>
      <c r="T134" s="17"/>
      <c r="U134" s="18" t="str">
        <f t="shared" si="9"/>
        <v/>
      </c>
      <c r="V134" s="14"/>
      <c r="W134" s="14"/>
      <c r="X134" s="14"/>
      <c r="Y134" s="14"/>
      <c r="Z134" s="14"/>
      <c r="AA134" s="14"/>
    </row>
    <row r="135" spans="1:27" x14ac:dyDescent="0.3">
      <c r="A135" s="13" t="s">
        <v>188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5"/>
      <c r="N135" s="15"/>
      <c r="O135" s="13" t="str">
        <f t="shared" ca="1" si="8"/>
        <v/>
      </c>
      <c r="P135" s="14"/>
      <c r="Q135" s="14"/>
      <c r="R135" s="14"/>
      <c r="S135" s="16"/>
      <c r="T135" s="17"/>
      <c r="U135" s="18" t="str">
        <f t="shared" si="9"/>
        <v/>
      </c>
      <c r="V135" s="14"/>
      <c r="W135" s="14"/>
      <c r="X135" s="14"/>
      <c r="Y135" s="14"/>
      <c r="Z135" s="14"/>
      <c r="AA135" s="14"/>
    </row>
    <row r="136" spans="1:27" x14ac:dyDescent="0.3">
      <c r="A136" s="13" t="s">
        <v>189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5"/>
      <c r="N136" s="15"/>
      <c r="O136" s="13" t="str">
        <f t="shared" ca="1" si="8"/>
        <v/>
      </c>
      <c r="P136" s="14"/>
      <c r="Q136" s="14"/>
      <c r="R136" s="14"/>
      <c r="S136" s="16"/>
      <c r="T136" s="17"/>
      <c r="U136" s="18" t="str">
        <f t="shared" si="9"/>
        <v/>
      </c>
      <c r="V136" s="14"/>
      <c r="W136" s="14"/>
      <c r="X136" s="14"/>
      <c r="Y136" s="14"/>
      <c r="Z136" s="14"/>
      <c r="AA136" s="14"/>
    </row>
    <row r="137" spans="1:27" x14ac:dyDescent="0.3">
      <c r="A137" s="13" t="s">
        <v>190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5"/>
      <c r="N137" s="15"/>
      <c r="O137" s="13" t="str">
        <f t="shared" ca="1" si="8"/>
        <v/>
      </c>
      <c r="P137" s="14"/>
      <c r="Q137" s="14"/>
      <c r="R137" s="14"/>
      <c r="S137" s="16"/>
      <c r="T137" s="17"/>
      <c r="U137" s="18" t="str">
        <f t="shared" si="9"/>
        <v/>
      </c>
      <c r="V137" s="14"/>
      <c r="W137" s="14"/>
      <c r="X137" s="14"/>
      <c r="Y137" s="14"/>
      <c r="Z137" s="14"/>
      <c r="AA137" s="14"/>
    </row>
    <row r="138" spans="1:27" x14ac:dyDescent="0.3">
      <c r="A138" s="13" t="s">
        <v>191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5"/>
      <c r="N138" s="15"/>
      <c r="O138" s="13" t="str">
        <f t="shared" ca="1" si="8"/>
        <v/>
      </c>
      <c r="P138" s="14"/>
      <c r="Q138" s="14"/>
      <c r="R138" s="14"/>
      <c r="S138" s="16"/>
      <c r="T138" s="17"/>
      <c r="U138" s="18" t="str">
        <f t="shared" si="9"/>
        <v/>
      </c>
      <c r="V138" s="14"/>
      <c r="W138" s="14"/>
      <c r="X138" s="14"/>
      <c r="Y138" s="14"/>
      <c r="Z138" s="14"/>
      <c r="AA138" s="14"/>
    </row>
    <row r="139" spans="1:27" x14ac:dyDescent="0.3">
      <c r="A139" s="13" t="s">
        <v>192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5"/>
      <c r="N139" s="15"/>
      <c r="O139" s="13" t="str">
        <f t="shared" ca="1" si="8"/>
        <v/>
      </c>
      <c r="P139" s="14"/>
      <c r="Q139" s="14"/>
      <c r="R139" s="14"/>
      <c r="S139" s="16"/>
      <c r="T139" s="17"/>
      <c r="U139" s="18" t="str">
        <f t="shared" si="9"/>
        <v/>
      </c>
      <c r="V139" s="14"/>
      <c r="W139" s="14"/>
      <c r="X139" s="14"/>
      <c r="Y139" s="14"/>
      <c r="Z139" s="14"/>
      <c r="AA139" s="14"/>
    </row>
    <row r="140" spans="1:27" x14ac:dyDescent="0.3">
      <c r="A140" s="13" t="s">
        <v>193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5"/>
      <c r="N140" s="15"/>
      <c r="O140" s="13" t="str">
        <f t="shared" ca="1" si="8"/>
        <v/>
      </c>
      <c r="P140" s="14"/>
      <c r="Q140" s="14"/>
      <c r="R140" s="14"/>
      <c r="S140" s="16"/>
      <c r="T140" s="17"/>
      <c r="U140" s="18" t="str">
        <f t="shared" si="9"/>
        <v/>
      </c>
      <c r="V140" s="14"/>
      <c r="W140" s="14"/>
      <c r="X140" s="14"/>
      <c r="Y140" s="14"/>
      <c r="Z140" s="14"/>
      <c r="AA140" s="14"/>
    </row>
    <row r="141" spans="1:27" x14ac:dyDescent="0.3">
      <c r="A141" s="13" t="s">
        <v>194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5"/>
      <c r="N141" s="15"/>
      <c r="O141" s="13" t="str">
        <f t="shared" ca="1" si="8"/>
        <v/>
      </c>
      <c r="P141" s="14"/>
      <c r="Q141" s="14"/>
      <c r="R141" s="14"/>
      <c r="S141" s="16"/>
      <c r="T141" s="17"/>
      <c r="U141" s="18" t="str">
        <f t="shared" si="9"/>
        <v/>
      </c>
      <c r="V141" s="14"/>
      <c r="W141" s="14"/>
      <c r="X141" s="14"/>
      <c r="Y141" s="14"/>
      <c r="Z141" s="14"/>
      <c r="AA141" s="14"/>
    </row>
    <row r="142" spans="1:27" x14ac:dyDescent="0.3">
      <c r="A142" s="13" t="s">
        <v>195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5"/>
      <c r="N142" s="15"/>
      <c r="O142" s="13" t="str">
        <f t="shared" ca="1" si="8"/>
        <v/>
      </c>
      <c r="P142" s="14"/>
      <c r="Q142" s="14"/>
      <c r="R142" s="14"/>
      <c r="S142" s="16"/>
      <c r="T142" s="17"/>
      <c r="U142" s="18" t="str">
        <f t="shared" si="9"/>
        <v/>
      </c>
      <c r="V142" s="14"/>
      <c r="W142" s="14"/>
      <c r="X142" s="14"/>
      <c r="Y142" s="14"/>
      <c r="Z142" s="14"/>
      <c r="AA142" s="14"/>
    </row>
    <row r="143" spans="1:27" x14ac:dyDescent="0.3">
      <c r="A143" s="13" t="s">
        <v>196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5"/>
      <c r="N143" s="15"/>
      <c r="O143" s="13" t="str">
        <f t="shared" ca="1" si="8"/>
        <v/>
      </c>
      <c r="P143" s="14"/>
      <c r="Q143" s="14"/>
      <c r="R143" s="14"/>
      <c r="S143" s="16"/>
      <c r="T143" s="17"/>
      <c r="U143" s="18" t="str">
        <f t="shared" si="9"/>
        <v/>
      </c>
      <c r="V143" s="14"/>
      <c r="W143" s="14"/>
      <c r="X143" s="14"/>
      <c r="Y143" s="14"/>
      <c r="Z143" s="14"/>
      <c r="AA143" s="14"/>
    </row>
    <row r="144" spans="1:27" x14ac:dyDescent="0.3">
      <c r="A144" s="13" t="s">
        <v>197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5"/>
      <c r="N144" s="15"/>
      <c r="O144" s="13" t="str">
        <f t="shared" ca="1" si="8"/>
        <v/>
      </c>
      <c r="P144" s="14"/>
      <c r="Q144" s="14"/>
      <c r="R144" s="14"/>
      <c r="S144" s="16"/>
      <c r="T144" s="17"/>
      <c r="U144" s="18" t="str">
        <f t="shared" si="9"/>
        <v/>
      </c>
      <c r="V144" s="14"/>
      <c r="W144" s="14"/>
      <c r="X144" s="14"/>
      <c r="Y144" s="14"/>
      <c r="Z144" s="14"/>
      <c r="AA144" s="14"/>
    </row>
    <row r="145" spans="1:27" x14ac:dyDescent="0.3">
      <c r="A145" s="13" t="s">
        <v>198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5"/>
      <c r="N145" s="15"/>
      <c r="O145" s="13" t="str">
        <f t="shared" ca="1" si="8"/>
        <v/>
      </c>
      <c r="P145" s="14"/>
      <c r="Q145" s="14"/>
      <c r="R145" s="14"/>
      <c r="S145" s="16"/>
      <c r="T145" s="17"/>
      <c r="U145" s="18" t="str">
        <f t="shared" si="9"/>
        <v/>
      </c>
      <c r="V145" s="14"/>
      <c r="W145" s="14"/>
      <c r="X145" s="14"/>
      <c r="Y145" s="14"/>
      <c r="Z145" s="14"/>
      <c r="AA145" s="14"/>
    </row>
    <row r="146" spans="1:27" x14ac:dyDescent="0.3">
      <c r="A146" s="13" t="s">
        <v>199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5"/>
      <c r="N146" s="15"/>
      <c r="O146" s="13" t="str">
        <f t="shared" ca="1" si="8"/>
        <v/>
      </c>
      <c r="P146" s="14"/>
      <c r="Q146" s="14"/>
      <c r="R146" s="14"/>
      <c r="S146" s="16"/>
      <c r="T146" s="17"/>
      <c r="U146" s="18" t="str">
        <f t="shared" si="9"/>
        <v/>
      </c>
      <c r="V146" s="14"/>
      <c r="W146" s="14"/>
      <c r="X146" s="14"/>
      <c r="Y146" s="14"/>
      <c r="Z146" s="14"/>
      <c r="AA146" s="14"/>
    </row>
    <row r="147" spans="1:27" x14ac:dyDescent="0.3">
      <c r="A147" s="13" t="s">
        <v>200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5"/>
      <c r="N147" s="15"/>
      <c r="O147" s="13" t="str">
        <f t="shared" ca="1" si="8"/>
        <v/>
      </c>
      <c r="P147" s="14"/>
      <c r="Q147" s="14"/>
      <c r="R147" s="14"/>
      <c r="S147" s="16"/>
      <c r="T147" s="17"/>
      <c r="U147" s="18" t="str">
        <f t="shared" si="9"/>
        <v/>
      </c>
      <c r="V147" s="14"/>
      <c r="W147" s="14"/>
      <c r="X147" s="14"/>
      <c r="Y147" s="14"/>
      <c r="Z147" s="14"/>
      <c r="AA147" s="14"/>
    </row>
    <row r="148" spans="1:27" x14ac:dyDescent="0.3">
      <c r="A148" s="13" t="s">
        <v>201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5"/>
      <c r="N148" s="15"/>
      <c r="O148" s="13" t="str">
        <f t="shared" ca="1" si="8"/>
        <v/>
      </c>
      <c r="P148" s="14"/>
      <c r="Q148" s="14"/>
      <c r="R148" s="14"/>
      <c r="S148" s="16"/>
      <c r="T148" s="17"/>
      <c r="U148" s="18" t="str">
        <f t="shared" si="9"/>
        <v/>
      </c>
      <c r="V148" s="14"/>
      <c r="W148" s="14"/>
      <c r="X148" s="14"/>
      <c r="Y148" s="14"/>
      <c r="Z148" s="14"/>
      <c r="AA148" s="14"/>
    </row>
    <row r="149" spans="1:27" x14ac:dyDescent="0.3">
      <c r="A149" s="13" t="s">
        <v>202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5"/>
      <c r="N149" s="15"/>
      <c r="O149" s="13" t="str">
        <f t="shared" ca="1" si="8"/>
        <v/>
      </c>
      <c r="P149" s="14"/>
      <c r="Q149" s="14"/>
      <c r="R149" s="14"/>
      <c r="S149" s="16"/>
      <c r="T149" s="17"/>
      <c r="U149" s="18" t="str">
        <f t="shared" si="9"/>
        <v/>
      </c>
      <c r="V149" s="14"/>
      <c r="W149" s="14"/>
      <c r="X149" s="14"/>
      <c r="Y149" s="14"/>
      <c r="Z149" s="14"/>
      <c r="AA149" s="14"/>
    </row>
    <row r="150" spans="1:27" x14ac:dyDescent="0.3">
      <c r="A150" s="13" t="s">
        <v>203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5"/>
      <c r="N150" s="15"/>
      <c r="O150" s="13" t="str">
        <f t="shared" ca="1" si="8"/>
        <v/>
      </c>
      <c r="P150" s="14"/>
      <c r="Q150" s="14"/>
      <c r="R150" s="14"/>
      <c r="S150" s="16"/>
      <c r="T150" s="17"/>
      <c r="U150" s="18" t="str">
        <f t="shared" si="9"/>
        <v/>
      </c>
      <c r="V150" s="14"/>
      <c r="W150" s="14"/>
      <c r="X150" s="14"/>
      <c r="Y150" s="14"/>
      <c r="Z150" s="14"/>
      <c r="AA150" s="14"/>
    </row>
    <row r="151" spans="1:27" x14ac:dyDescent="0.3">
      <c r="A151" s="13" t="s">
        <v>204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5"/>
      <c r="N151" s="15"/>
      <c r="O151" s="13" t="str">
        <f t="shared" ca="1" si="8"/>
        <v/>
      </c>
      <c r="P151" s="14"/>
      <c r="Q151" s="14"/>
      <c r="R151" s="14"/>
      <c r="S151" s="16"/>
      <c r="T151" s="17"/>
      <c r="U151" s="18" t="str">
        <f t="shared" si="9"/>
        <v/>
      </c>
      <c r="V151" s="14"/>
      <c r="W151" s="14"/>
      <c r="X151" s="14"/>
      <c r="Y151" s="14"/>
      <c r="Z151" s="14"/>
      <c r="AA151" s="14"/>
    </row>
    <row r="152" spans="1:27" x14ac:dyDescent="0.3">
      <c r="A152" s="13" t="s">
        <v>205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5"/>
      <c r="N152" s="15"/>
      <c r="O152" s="13" t="str">
        <f t="shared" ca="1" si="8"/>
        <v/>
      </c>
      <c r="P152" s="14"/>
      <c r="Q152" s="14"/>
      <c r="R152" s="14"/>
      <c r="S152" s="16"/>
      <c r="T152" s="17"/>
      <c r="U152" s="18" t="str">
        <f t="shared" si="9"/>
        <v/>
      </c>
      <c r="V152" s="14"/>
      <c r="W152" s="14"/>
      <c r="X152" s="14"/>
      <c r="Y152" s="14"/>
      <c r="Z152" s="14"/>
      <c r="AA152" s="14"/>
    </row>
    <row r="153" spans="1:27" x14ac:dyDescent="0.3">
      <c r="A153" s="13" t="s">
        <v>206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5"/>
      <c r="N153" s="15"/>
      <c r="O153" s="13" t="str">
        <f t="shared" ca="1" si="8"/>
        <v/>
      </c>
      <c r="P153" s="14"/>
      <c r="Q153" s="14"/>
      <c r="R153" s="14"/>
      <c r="S153" s="16"/>
      <c r="T153" s="17"/>
      <c r="U153" s="18" t="str">
        <f t="shared" si="9"/>
        <v/>
      </c>
      <c r="V153" s="14"/>
      <c r="W153" s="14"/>
      <c r="X153" s="14"/>
      <c r="Y153" s="14"/>
      <c r="Z153" s="14"/>
      <c r="AA153" s="14"/>
    </row>
    <row r="154" spans="1:27" x14ac:dyDescent="0.3">
      <c r="A154" s="13" t="s">
        <v>207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5"/>
      <c r="N154" s="15"/>
      <c r="O154" s="13" t="str">
        <f t="shared" ca="1" si="8"/>
        <v/>
      </c>
      <c r="P154" s="14"/>
      <c r="Q154" s="14"/>
      <c r="R154" s="14"/>
      <c r="S154" s="16"/>
      <c r="T154" s="17"/>
      <c r="U154" s="18" t="str">
        <f t="shared" si="9"/>
        <v/>
      </c>
      <c r="V154" s="14"/>
      <c r="W154" s="14"/>
      <c r="X154" s="14"/>
      <c r="Y154" s="14"/>
      <c r="Z154" s="14"/>
      <c r="AA154" s="14"/>
    </row>
    <row r="155" spans="1:27" x14ac:dyDescent="0.3">
      <c r="A155" s="13" t="s">
        <v>208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5"/>
      <c r="N155" s="15"/>
      <c r="O155" s="13" t="str">
        <f t="shared" ca="1" si="8"/>
        <v/>
      </c>
      <c r="P155" s="14"/>
      <c r="Q155" s="14"/>
      <c r="R155" s="14"/>
      <c r="S155" s="16"/>
      <c r="T155" s="17"/>
      <c r="U155" s="18" t="str">
        <f t="shared" si="9"/>
        <v/>
      </c>
      <c r="V155" s="14"/>
      <c r="W155" s="14"/>
      <c r="X155" s="14"/>
      <c r="Y155" s="14"/>
      <c r="Z155" s="14"/>
      <c r="AA155" s="14"/>
    </row>
    <row r="156" spans="1:27" x14ac:dyDescent="0.3">
      <c r="A156" s="13" t="s">
        <v>209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5"/>
      <c r="N156" s="15"/>
      <c r="O156" s="13" t="str">
        <f t="shared" ca="1" si="8"/>
        <v/>
      </c>
      <c r="P156" s="14"/>
      <c r="Q156" s="14"/>
      <c r="R156" s="14"/>
      <c r="S156" s="16"/>
      <c r="T156" s="17"/>
      <c r="U156" s="18" t="str">
        <f t="shared" si="9"/>
        <v/>
      </c>
      <c r="V156" s="14"/>
      <c r="W156" s="14"/>
      <c r="X156" s="14"/>
      <c r="Y156" s="14"/>
      <c r="Z156" s="14"/>
      <c r="AA156" s="14"/>
    </row>
    <row r="157" spans="1:27" x14ac:dyDescent="0.3">
      <c r="A157" s="13" t="s">
        <v>210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5"/>
      <c r="N157" s="15"/>
      <c r="O157" s="13" t="str">
        <f t="shared" ca="1" si="8"/>
        <v/>
      </c>
      <c r="P157" s="14"/>
      <c r="Q157" s="14"/>
      <c r="R157" s="14"/>
      <c r="S157" s="16"/>
      <c r="T157" s="17"/>
      <c r="U157" s="18" t="str">
        <f t="shared" si="9"/>
        <v/>
      </c>
      <c r="V157" s="14"/>
      <c r="W157" s="14"/>
      <c r="X157" s="14"/>
      <c r="Y157" s="14"/>
      <c r="Z157" s="14"/>
      <c r="AA157" s="14"/>
    </row>
    <row r="158" spans="1:27" x14ac:dyDescent="0.3">
      <c r="A158" s="13" t="s">
        <v>211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5"/>
      <c r="N158" s="15"/>
      <c r="O158" s="13" t="str">
        <f t="shared" ca="1" si="8"/>
        <v/>
      </c>
      <c r="P158" s="14"/>
      <c r="Q158" s="14"/>
      <c r="R158" s="14"/>
      <c r="S158" s="16"/>
      <c r="T158" s="17"/>
      <c r="U158" s="18" t="str">
        <f t="shared" si="9"/>
        <v/>
      </c>
      <c r="V158" s="14"/>
      <c r="W158" s="14"/>
      <c r="X158" s="14"/>
      <c r="Y158" s="14"/>
      <c r="Z158" s="14"/>
      <c r="AA158" s="14"/>
    </row>
    <row r="159" spans="1:27" x14ac:dyDescent="0.3">
      <c r="A159" s="13" t="s">
        <v>212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5"/>
      <c r="N159" s="15"/>
      <c r="O159" s="13" t="str">
        <f t="shared" ca="1" si="8"/>
        <v/>
      </c>
      <c r="P159" s="14"/>
      <c r="Q159" s="14"/>
      <c r="R159" s="14"/>
      <c r="S159" s="16"/>
      <c r="T159" s="17"/>
      <c r="U159" s="18" t="str">
        <f t="shared" si="9"/>
        <v/>
      </c>
      <c r="V159" s="14"/>
      <c r="W159" s="14"/>
      <c r="X159" s="14"/>
      <c r="Y159" s="14"/>
      <c r="Z159" s="14"/>
      <c r="AA159" s="14"/>
    </row>
    <row r="160" spans="1:27" x14ac:dyDescent="0.3">
      <c r="A160" s="13" t="s">
        <v>213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5"/>
      <c r="N160" s="15"/>
      <c r="O160" s="13" t="str">
        <f t="shared" ca="1" si="8"/>
        <v/>
      </c>
      <c r="P160" s="14"/>
      <c r="Q160" s="14"/>
      <c r="R160" s="14"/>
      <c r="S160" s="16"/>
      <c r="T160" s="17"/>
      <c r="U160" s="18" t="str">
        <f t="shared" si="9"/>
        <v/>
      </c>
      <c r="V160" s="14"/>
      <c r="W160" s="14"/>
      <c r="X160" s="14"/>
      <c r="Y160" s="14"/>
      <c r="Z160" s="14"/>
      <c r="AA160" s="14"/>
    </row>
    <row r="161" spans="1:27" x14ac:dyDescent="0.3">
      <c r="A161" s="13" t="s">
        <v>214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5"/>
      <c r="N161" s="15"/>
      <c r="O161" s="13" t="str">
        <f t="shared" ca="1" si="8"/>
        <v/>
      </c>
      <c r="P161" s="14"/>
      <c r="Q161" s="14"/>
      <c r="R161" s="14"/>
      <c r="S161" s="16"/>
      <c r="T161" s="17"/>
      <c r="U161" s="18" t="str">
        <f t="shared" si="9"/>
        <v/>
      </c>
      <c r="V161" s="14"/>
      <c r="W161" s="14"/>
      <c r="X161" s="14"/>
      <c r="Y161" s="14"/>
      <c r="Z161" s="14"/>
      <c r="AA161" s="14"/>
    </row>
    <row r="162" spans="1:27" x14ac:dyDescent="0.3">
      <c r="A162" s="13" t="s">
        <v>215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5"/>
      <c r="N162" s="15"/>
      <c r="O162" s="13" t="str">
        <f t="shared" ref="O162:O193" ca="1" si="10">IF(N162="","",N162-TODAY())</f>
        <v/>
      </c>
      <c r="P162" s="14"/>
      <c r="Q162" s="14"/>
      <c r="R162" s="14"/>
      <c r="S162" s="16"/>
      <c r="T162" s="17"/>
      <c r="U162" s="18" t="str">
        <f t="shared" ref="U162:U193" si="11">IF(AND(S162&lt;&gt;"",T162&lt;&gt;""),S162*T162,"")</f>
        <v/>
      </c>
      <c r="V162" s="14"/>
      <c r="W162" s="14"/>
      <c r="X162" s="14"/>
      <c r="Y162" s="14"/>
      <c r="Z162" s="14"/>
      <c r="AA162" s="14"/>
    </row>
    <row r="163" spans="1:27" x14ac:dyDescent="0.3">
      <c r="A163" s="13" t="s">
        <v>216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5"/>
      <c r="N163" s="15"/>
      <c r="O163" s="13" t="str">
        <f t="shared" ca="1" si="10"/>
        <v/>
      </c>
      <c r="P163" s="14"/>
      <c r="Q163" s="14"/>
      <c r="R163" s="14"/>
      <c r="S163" s="16"/>
      <c r="T163" s="17"/>
      <c r="U163" s="18" t="str">
        <f t="shared" si="11"/>
        <v/>
      </c>
      <c r="V163" s="14"/>
      <c r="W163" s="14"/>
      <c r="X163" s="14"/>
      <c r="Y163" s="14"/>
      <c r="Z163" s="14"/>
      <c r="AA163" s="14"/>
    </row>
    <row r="164" spans="1:27" x14ac:dyDescent="0.3">
      <c r="A164" s="13" t="s">
        <v>217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5"/>
      <c r="N164" s="15"/>
      <c r="O164" s="13" t="str">
        <f t="shared" ca="1" si="10"/>
        <v/>
      </c>
      <c r="P164" s="14"/>
      <c r="Q164" s="14"/>
      <c r="R164" s="14"/>
      <c r="S164" s="16"/>
      <c r="T164" s="17"/>
      <c r="U164" s="18" t="str">
        <f t="shared" si="11"/>
        <v/>
      </c>
      <c r="V164" s="14"/>
      <c r="W164" s="14"/>
      <c r="X164" s="14"/>
      <c r="Y164" s="14"/>
      <c r="Z164" s="14"/>
      <c r="AA164" s="14"/>
    </row>
    <row r="165" spans="1:27" x14ac:dyDescent="0.3">
      <c r="A165" s="13" t="s">
        <v>218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5"/>
      <c r="N165" s="15"/>
      <c r="O165" s="13" t="str">
        <f t="shared" ca="1" si="10"/>
        <v/>
      </c>
      <c r="P165" s="14"/>
      <c r="Q165" s="14"/>
      <c r="R165" s="14"/>
      <c r="S165" s="16"/>
      <c r="T165" s="17"/>
      <c r="U165" s="18" t="str">
        <f t="shared" si="11"/>
        <v/>
      </c>
      <c r="V165" s="14"/>
      <c r="W165" s="14"/>
      <c r="X165" s="14"/>
      <c r="Y165" s="14"/>
      <c r="Z165" s="14"/>
      <c r="AA165" s="14"/>
    </row>
    <row r="166" spans="1:27" x14ac:dyDescent="0.3">
      <c r="A166" s="13" t="s">
        <v>219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5"/>
      <c r="N166" s="15"/>
      <c r="O166" s="13" t="str">
        <f t="shared" ca="1" si="10"/>
        <v/>
      </c>
      <c r="P166" s="14"/>
      <c r="Q166" s="14"/>
      <c r="R166" s="14"/>
      <c r="S166" s="16"/>
      <c r="T166" s="17"/>
      <c r="U166" s="18" t="str">
        <f t="shared" si="11"/>
        <v/>
      </c>
      <c r="V166" s="14"/>
      <c r="W166" s="14"/>
      <c r="X166" s="14"/>
      <c r="Y166" s="14"/>
      <c r="Z166" s="14"/>
      <c r="AA166" s="14"/>
    </row>
    <row r="167" spans="1:27" x14ac:dyDescent="0.3">
      <c r="A167" s="13" t="s">
        <v>220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5"/>
      <c r="N167" s="15"/>
      <c r="O167" s="13" t="str">
        <f t="shared" ca="1" si="10"/>
        <v/>
      </c>
      <c r="P167" s="14"/>
      <c r="Q167" s="14"/>
      <c r="R167" s="14"/>
      <c r="S167" s="16"/>
      <c r="T167" s="17"/>
      <c r="U167" s="18" t="str">
        <f t="shared" si="11"/>
        <v/>
      </c>
      <c r="V167" s="14"/>
      <c r="W167" s="14"/>
      <c r="X167" s="14"/>
      <c r="Y167" s="14"/>
      <c r="Z167" s="14"/>
      <c r="AA167" s="14"/>
    </row>
    <row r="168" spans="1:27" x14ac:dyDescent="0.3">
      <c r="A168" s="13" t="s">
        <v>221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5"/>
      <c r="N168" s="15"/>
      <c r="O168" s="13" t="str">
        <f t="shared" ca="1" si="10"/>
        <v/>
      </c>
      <c r="P168" s="14"/>
      <c r="Q168" s="14"/>
      <c r="R168" s="14"/>
      <c r="S168" s="16"/>
      <c r="T168" s="17"/>
      <c r="U168" s="18" t="str">
        <f t="shared" si="11"/>
        <v/>
      </c>
      <c r="V168" s="14"/>
      <c r="W168" s="14"/>
      <c r="X168" s="14"/>
      <c r="Y168" s="14"/>
      <c r="Z168" s="14"/>
      <c r="AA168" s="14"/>
    </row>
    <row r="169" spans="1:27" x14ac:dyDescent="0.3">
      <c r="A169" s="13" t="s">
        <v>222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5"/>
      <c r="N169" s="15"/>
      <c r="O169" s="13" t="str">
        <f t="shared" ca="1" si="10"/>
        <v/>
      </c>
      <c r="P169" s="14"/>
      <c r="Q169" s="14"/>
      <c r="R169" s="14"/>
      <c r="S169" s="16"/>
      <c r="T169" s="17"/>
      <c r="U169" s="18" t="str">
        <f t="shared" si="11"/>
        <v/>
      </c>
      <c r="V169" s="14"/>
      <c r="W169" s="14"/>
      <c r="X169" s="14"/>
      <c r="Y169" s="14"/>
      <c r="Z169" s="14"/>
      <c r="AA169" s="14"/>
    </row>
    <row r="170" spans="1:27" x14ac:dyDescent="0.3">
      <c r="A170" s="13" t="s">
        <v>223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5"/>
      <c r="N170" s="15"/>
      <c r="O170" s="13" t="str">
        <f t="shared" ca="1" si="10"/>
        <v/>
      </c>
      <c r="P170" s="14"/>
      <c r="Q170" s="14"/>
      <c r="R170" s="14"/>
      <c r="S170" s="16"/>
      <c r="T170" s="17"/>
      <c r="U170" s="18" t="str">
        <f t="shared" si="11"/>
        <v/>
      </c>
      <c r="V170" s="14"/>
      <c r="W170" s="14"/>
      <c r="X170" s="14"/>
      <c r="Y170" s="14"/>
      <c r="Z170" s="14"/>
      <c r="AA170" s="14"/>
    </row>
    <row r="171" spans="1:27" x14ac:dyDescent="0.3">
      <c r="A171" s="13" t="s">
        <v>224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5"/>
      <c r="N171" s="15"/>
      <c r="O171" s="13" t="str">
        <f t="shared" ca="1" si="10"/>
        <v/>
      </c>
      <c r="P171" s="14"/>
      <c r="Q171" s="14"/>
      <c r="R171" s="14"/>
      <c r="S171" s="16"/>
      <c r="T171" s="17"/>
      <c r="U171" s="18" t="str">
        <f t="shared" si="11"/>
        <v/>
      </c>
      <c r="V171" s="14"/>
      <c r="W171" s="14"/>
      <c r="X171" s="14"/>
      <c r="Y171" s="14"/>
      <c r="Z171" s="14"/>
      <c r="AA171" s="14"/>
    </row>
    <row r="172" spans="1:27" x14ac:dyDescent="0.3">
      <c r="A172" s="13" t="s">
        <v>225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5"/>
      <c r="N172" s="15"/>
      <c r="O172" s="13" t="str">
        <f t="shared" ca="1" si="10"/>
        <v/>
      </c>
      <c r="P172" s="14"/>
      <c r="Q172" s="14"/>
      <c r="R172" s="14"/>
      <c r="S172" s="16"/>
      <c r="T172" s="17"/>
      <c r="U172" s="18" t="str">
        <f t="shared" si="11"/>
        <v/>
      </c>
      <c r="V172" s="14"/>
      <c r="W172" s="14"/>
      <c r="X172" s="14"/>
      <c r="Y172" s="14"/>
      <c r="Z172" s="14"/>
      <c r="AA172" s="14"/>
    </row>
    <row r="173" spans="1:27" x14ac:dyDescent="0.3">
      <c r="A173" s="13" t="s">
        <v>226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5"/>
      <c r="N173" s="15"/>
      <c r="O173" s="13" t="str">
        <f t="shared" ca="1" si="10"/>
        <v/>
      </c>
      <c r="P173" s="14"/>
      <c r="Q173" s="14"/>
      <c r="R173" s="14"/>
      <c r="S173" s="16"/>
      <c r="T173" s="17"/>
      <c r="U173" s="18" t="str">
        <f t="shared" si="11"/>
        <v/>
      </c>
      <c r="V173" s="14"/>
      <c r="W173" s="14"/>
      <c r="X173" s="14"/>
      <c r="Y173" s="14"/>
      <c r="Z173" s="14"/>
      <c r="AA173" s="14"/>
    </row>
    <row r="174" spans="1:27" x14ac:dyDescent="0.3">
      <c r="A174" s="13" t="s">
        <v>227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5"/>
      <c r="N174" s="15"/>
      <c r="O174" s="13" t="str">
        <f t="shared" ca="1" si="10"/>
        <v/>
      </c>
      <c r="P174" s="14"/>
      <c r="Q174" s="14"/>
      <c r="R174" s="14"/>
      <c r="S174" s="16"/>
      <c r="T174" s="17"/>
      <c r="U174" s="18" t="str">
        <f t="shared" si="11"/>
        <v/>
      </c>
      <c r="V174" s="14"/>
      <c r="W174" s="14"/>
      <c r="X174" s="14"/>
      <c r="Y174" s="14"/>
      <c r="Z174" s="14"/>
      <c r="AA174" s="14"/>
    </row>
    <row r="175" spans="1:27" x14ac:dyDescent="0.3">
      <c r="A175" s="13" t="s">
        <v>228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5"/>
      <c r="N175" s="15"/>
      <c r="O175" s="13" t="str">
        <f t="shared" ca="1" si="10"/>
        <v/>
      </c>
      <c r="P175" s="14"/>
      <c r="Q175" s="14"/>
      <c r="R175" s="14"/>
      <c r="S175" s="16"/>
      <c r="T175" s="17"/>
      <c r="U175" s="18" t="str">
        <f t="shared" si="11"/>
        <v/>
      </c>
      <c r="V175" s="14"/>
      <c r="W175" s="14"/>
      <c r="X175" s="14"/>
      <c r="Y175" s="14"/>
      <c r="Z175" s="14"/>
      <c r="AA175" s="14"/>
    </row>
    <row r="176" spans="1:27" x14ac:dyDescent="0.3">
      <c r="A176" s="13" t="s">
        <v>229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5"/>
      <c r="N176" s="15"/>
      <c r="O176" s="13" t="str">
        <f t="shared" ca="1" si="10"/>
        <v/>
      </c>
      <c r="P176" s="14"/>
      <c r="Q176" s="14"/>
      <c r="R176" s="14"/>
      <c r="S176" s="16"/>
      <c r="T176" s="17"/>
      <c r="U176" s="18" t="str">
        <f t="shared" si="11"/>
        <v/>
      </c>
      <c r="V176" s="14"/>
      <c r="W176" s="14"/>
      <c r="X176" s="14"/>
      <c r="Y176" s="14"/>
      <c r="Z176" s="14"/>
      <c r="AA176" s="14"/>
    </row>
    <row r="177" spans="1:27" x14ac:dyDescent="0.3">
      <c r="A177" s="13" t="s">
        <v>230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5"/>
      <c r="N177" s="15"/>
      <c r="O177" s="13" t="str">
        <f t="shared" ca="1" si="10"/>
        <v/>
      </c>
      <c r="P177" s="14"/>
      <c r="Q177" s="14"/>
      <c r="R177" s="14"/>
      <c r="S177" s="16"/>
      <c r="T177" s="17"/>
      <c r="U177" s="18" t="str">
        <f t="shared" si="11"/>
        <v/>
      </c>
      <c r="V177" s="14"/>
      <c r="W177" s="14"/>
      <c r="X177" s="14"/>
      <c r="Y177" s="14"/>
      <c r="Z177" s="14"/>
      <c r="AA177" s="14"/>
    </row>
    <row r="178" spans="1:27" x14ac:dyDescent="0.3">
      <c r="A178" s="13" t="s">
        <v>231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5"/>
      <c r="N178" s="15"/>
      <c r="O178" s="13" t="str">
        <f t="shared" ca="1" si="10"/>
        <v/>
      </c>
      <c r="P178" s="14"/>
      <c r="Q178" s="14"/>
      <c r="R178" s="14"/>
      <c r="S178" s="16"/>
      <c r="T178" s="17"/>
      <c r="U178" s="18" t="str">
        <f t="shared" si="11"/>
        <v/>
      </c>
      <c r="V178" s="14"/>
      <c r="W178" s="14"/>
      <c r="X178" s="14"/>
      <c r="Y178" s="14"/>
      <c r="Z178" s="14"/>
      <c r="AA178" s="14"/>
    </row>
    <row r="179" spans="1:27" x14ac:dyDescent="0.3">
      <c r="A179" s="13" t="s">
        <v>232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5"/>
      <c r="N179" s="15"/>
      <c r="O179" s="13" t="str">
        <f t="shared" ca="1" si="10"/>
        <v/>
      </c>
      <c r="P179" s="14"/>
      <c r="Q179" s="14"/>
      <c r="R179" s="14"/>
      <c r="S179" s="16"/>
      <c r="T179" s="17"/>
      <c r="U179" s="18" t="str">
        <f t="shared" si="11"/>
        <v/>
      </c>
      <c r="V179" s="14"/>
      <c r="W179" s="14"/>
      <c r="X179" s="14"/>
      <c r="Y179" s="14"/>
      <c r="Z179" s="14"/>
      <c r="AA179" s="14"/>
    </row>
    <row r="180" spans="1:27" x14ac:dyDescent="0.3">
      <c r="A180" s="13" t="s">
        <v>233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5"/>
      <c r="N180" s="15"/>
      <c r="O180" s="13" t="str">
        <f t="shared" ca="1" si="10"/>
        <v/>
      </c>
      <c r="P180" s="14"/>
      <c r="Q180" s="14"/>
      <c r="R180" s="14"/>
      <c r="S180" s="16"/>
      <c r="T180" s="17"/>
      <c r="U180" s="18" t="str">
        <f t="shared" si="11"/>
        <v/>
      </c>
      <c r="V180" s="14"/>
      <c r="W180" s="14"/>
      <c r="X180" s="14"/>
      <c r="Y180" s="14"/>
      <c r="Z180" s="14"/>
      <c r="AA180" s="14"/>
    </row>
    <row r="181" spans="1:27" x14ac:dyDescent="0.3">
      <c r="A181" s="13" t="s">
        <v>234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5"/>
      <c r="N181" s="15"/>
      <c r="O181" s="13" t="str">
        <f t="shared" ca="1" si="10"/>
        <v/>
      </c>
      <c r="P181" s="14"/>
      <c r="Q181" s="14"/>
      <c r="R181" s="14"/>
      <c r="S181" s="16"/>
      <c r="T181" s="17"/>
      <c r="U181" s="18" t="str">
        <f t="shared" si="11"/>
        <v/>
      </c>
      <c r="V181" s="14"/>
      <c r="W181" s="14"/>
      <c r="X181" s="14"/>
      <c r="Y181" s="14"/>
      <c r="Z181" s="14"/>
      <c r="AA181" s="14"/>
    </row>
    <row r="182" spans="1:27" x14ac:dyDescent="0.3">
      <c r="A182" s="13" t="s">
        <v>235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5"/>
      <c r="N182" s="15"/>
      <c r="O182" s="13" t="str">
        <f t="shared" ca="1" si="10"/>
        <v/>
      </c>
      <c r="P182" s="14"/>
      <c r="Q182" s="14"/>
      <c r="R182" s="14"/>
      <c r="S182" s="16"/>
      <c r="T182" s="17"/>
      <c r="U182" s="18" t="str">
        <f t="shared" si="11"/>
        <v/>
      </c>
      <c r="V182" s="14"/>
      <c r="W182" s="14"/>
      <c r="X182" s="14"/>
      <c r="Y182" s="14"/>
      <c r="Z182" s="14"/>
      <c r="AA182" s="14"/>
    </row>
    <row r="183" spans="1:27" x14ac:dyDescent="0.3">
      <c r="A183" s="13" t="s">
        <v>236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5"/>
      <c r="N183" s="15"/>
      <c r="O183" s="13" t="str">
        <f t="shared" ca="1" si="10"/>
        <v/>
      </c>
      <c r="P183" s="14"/>
      <c r="Q183" s="14"/>
      <c r="R183" s="14"/>
      <c r="S183" s="16"/>
      <c r="T183" s="17"/>
      <c r="U183" s="18" t="str">
        <f t="shared" si="11"/>
        <v/>
      </c>
      <c r="V183" s="14"/>
      <c r="W183" s="14"/>
      <c r="X183" s="14"/>
      <c r="Y183" s="14"/>
      <c r="Z183" s="14"/>
      <c r="AA183" s="14"/>
    </row>
    <row r="184" spans="1:27" x14ac:dyDescent="0.3">
      <c r="A184" s="13" t="s">
        <v>237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5"/>
      <c r="N184" s="15"/>
      <c r="O184" s="13" t="str">
        <f t="shared" ca="1" si="10"/>
        <v/>
      </c>
      <c r="P184" s="14"/>
      <c r="Q184" s="14"/>
      <c r="R184" s="14"/>
      <c r="S184" s="16"/>
      <c r="T184" s="17"/>
      <c r="U184" s="18" t="str">
        <f t="shared" si="11"/>
        <v/>
      </c>
      <c r="V184" s="14"/>
      <c r="W184" s="14"/>
      <c r="X184" s="14"/>
      <c r="Y184" s="14"/>
      <c r="Z184" s="14"/>
      <c r="AA184" s="14"/>
    </row>
    <row r="185" spans="1:27" x14ac:dyDescent="0.3">
      <c r="A185" s="13" t="s">
        <v>238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5"/>
      <c r="N185" s="15"/>
      <c r="O185" s="13" t="str">
        <f t="shared" ca="1" si="10"/>
        <v/>
      </c>
      <c r="P185" s="14"/>
      <c r="Q185" s="14"/>
      <c r="R185" s="14"/>
      <c r="S185" s="16"/>
      <c r="T185" s="17"/>
      <c r="U185" s="18" t="str">
        <f t="shared" si="11"/>
        <v/>
      </c>
      <c r="V185" s="14"/>
      <c r="W185" s="14"/>
      <c r="X185" s="14"/>
      <c r="Y185" s="14"/>
      <c r="Z185" s="14"/>
      <c r="AA185" s="14"/>
    </row>
    <row r="186" spans="1:27" x14ac:dyDescent="0.3">
      <c r="A186" s="13" t="s">
        <v>239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5"/>
      <c r="N186" s="15"/>
      <c r="O186" s="13" t="str">
        <f t="shared" ca="1" si="10"/>
        <v/>
      </c>
      <c r="P186" s="14"/>
      <c r="Q186" s="14"/>
      <c r="R186" s="14"/>
      <c r="S186" s="16"/>
      <c r="T186" s="17"/>
      <c r="U186" s="18" t="str">
        <f t="shared" si="11"/>
        <v/>
      </c>
      <c r="V186" s="14"/>
      <c r="W186" s="14"/>
      <c r="X186" s="14"/>
      <c r="Y186" s="14"/>
      <c r="Z186" s="14"/>
      <c r="AA186" s="14"/>
    </row>
    <row r="187" spans="1:27" x14ac:dyDescent="0.3">
      <c r="A187" s="13" t="s">
        <v>240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5"/>
      <c r="N187" s="15"/>
      <c r="O187" s="13" t="str">
        <f t="shared" ca="1" si="10"/>
        <v/>
      </c>
      <c r="P187" s="14"/>
      <c r="Q187" s="14"/>
      <c r="R187" s="14"/>
      <c r="S187" s="16"/>
      <c r="T187" s="17"/>
      <c r="U187" s="18" t="str">
        <f t="shared" si="11"/>
        <v/>
      </c>
      <c r="V187" s="14"/>
      <c r="W187" s="14"/>
      <c r="X187" s="14"/>
      <c r="Y187" s="14"/>
      <c r="Z187" s="14"/>
      <c r="AA187" s="14"/>
    </row>
    <row r="188" spans="1:27" x14ac:dyDescent="0.3">
      <c r="A188" s="13" t="s">
        <v>241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5"/>
      <c r="N188" s="15"/>
      <c r="O188" s="13" t="str">
        <f t="shared" ca="1" si="10"/>
        <v/>
      </c>
      <c r="P188" s="14"/>
      <c r="Q188" s="14"/>
      <c r="R188" s="14"/>
      <c r="S188" s="16"/>
      <c r="T188" s="17"/>
      <c r="U188" s="18" t="str">
        <f t="shared" si="11"/>
        <v/>
      </c>
      <c r="V188" s="14"/>
      <c r="W188" s="14"/>
      <c r="X188" s="14"/>
      <c r="Y188" s="14"/>
      <c r="Z188" s="14"/>
      <c r="AA188" s="14"/>
    </row>
    <row r="189" spans="1:27" x14ac:dyDescent="0.3">
      <c r="A189" s="13" t="s">
        <v>242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5"/>
      <c r="N189" s="15"/>
      <c r="O189" s="13" t="str">
        <f t="shared" ca="1" si="10"/>
        <v/>
      </c>
      <c r="P189" s="14"/>
      <c r="Q189" s="14"/>
      <c r="R189" s="14"/>
      <c r="S189" s="16"/>
      <c r="T189" s="17"/>
      <c r="U189" s="18" t="str">
        <f t="shared" si="11"/>
        <v/>
      </c>
      <c r="V189" s="14"/>
      <c r="W189" s="14"/>
      <c r="X189" s="14"/>
      <c r="Y189" s="14"/>
      <c r="Z189" s="14"/>
      <c r="AA189" s="14"/>
    </row>
    <row r="190" spans="1:27" x14ac:dyDescent="0.3">
      <c r="A190" s="13" t="s">
        <v>243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5"/>
      <c r="N190" s="15"/>
      <c r="O190" s="13" t="str">
        <f t="shared" ca="1" si="10"/>
        <v/>
      </c>
      <c r="P190" s="14"/>
      <c r="Q190" s="14"/>
      <c r="R190" s="14"/>
      <c r="S190" s="16"/>
      <c r="T190" s="17"/>
      <c r="U190" s="18" t="str">
        <f t="shared" si="11"/>
        <v/>
      </c>
      <c r="V190" s="14"/>
      <c r="W190" s="14"/>
      <c r="X190" s="14"/>
      <c r="Y190" s="14"/>
      <c r="Z190" s="14"/>
      <c r="AA190" s="14"/>
    </row>
    <row r="191" spans="1:27" x14ac:dyDescent="0.3">
      <c r="A191" s="13" t="s">
        <v>244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5"/>
      <c r="N191" s="15"/>
      <c r="O191" s="13" t="str">
        <f t="shared" ca="1" si="10"/>
        <v/>
      </c>
      <c r="P191" s="14"/>
      <c r="Q191" s="14"/>
      <c r="R191" s="14"/>
      <c r="S191" s="16"/>
      <c r="T191" s="17"/>
      <c r="U191" s="18" t="str">
        <f t="shared" si="11"/>
        <v/>
      </c>
      <c r="V191" s="14"/>
      <c r="W191" s="14"/>
      <c r="X191" s="14"/>
      <c r="Y191" s="14"/>
      <c r="Z191" s="14"/>
      <c r="AA191" s="14"/>
    </row>
    <row r="192" spans="1:27" x14ac:dyDescent="0.3">
      <c r="A192" s="13" t="s">
        <v>245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5"/>
      <c r="N192" s="15"/>
      <c r="O192" s="13" t="str">
        <f t="shared" ca="1" si="10"/>
        <v/>
      </c>
      <c r="P192" s="14"/>
      <c r="Q192" s="14"/>
      <c r="R192" s="14"/>
      <c r="S192" s="16"/>
      <c r="T192" s="17"/>
      <c r="U192" s="18" t="str">
        <f t="shared" si="11"/>
        <v/>
      </c>
      <c r="V192" s="14"/>
      <c r="W192" s="14"/>
      <c r="X192" s="14"/>
      <c r="Y192" s="14"/>
      <c r="Z192" s="14"/>
      <c r="AA192" s="14"/>
    </row>
    <row r="193" spans="1:27" x14ac:dyDescent="0.3">
      <c r="A193" s="13" t="s">
        <v>246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5"/>
      <c r="N193" s="15"/>
      <c r="O193" s="13" t="str">
        <f t="shared" ca="1" si="10"/>
        <v/>
      </c>
      <c r="P193" s="14"/>
      <c r="Q193" s="14"/>
      <c r="R193" s="14"/>
      <c r="S193" s="16"/>
      <c r="T193" s="17"/>
      <c r="U193" s="18" t="str">
        <f t="shared" si="11"/>
        <v/>
      </c>
      <c r="V193" s="14"/>
      <c r="W193" s="14"/>
      <c r="X193" s="14"/>
      <c r="Y193" s="14"/>
      <c r="Z193" s="14"/>
      <c r="AA193" s="14"/>
    </row>
    <row r="194" spans="1:27" x14ac:dyDescent="0.3">
      <c r="A194" s="13" t="s">
        <v>247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5"/>
      <c r="N194" s="15"/>
      <c r="O194" s="13" t="str">
        <f t="shared" ref="O194:O225" ca="1" si="12">IF(N194="","",N194-TODAY())</f>
        <v/>
      </c>
      <c r="P194" s="14"/>
      <c r="Q194" s="14"/>
      <c r="R194" s="14"/>
      <c r="S194" s="16"/>
      <c r="T194" s="17"/>
      <c r="U194" s="18" t="str">
        <f t="shared" ref="U194:U225" si="13">IF(AND(S194&lt;&gt;"",T194&lt;&gt;""),S194*T194,"")</f>
        <v/>
      </c>
      <c r="V194" s="14"/>
      <c r="W194" s="14"/>
      <c r="X194" s="14"/>
      <c r="Y194" s="14"/>
      <c r="Z194" s="14"/>
      <c r="AA194" s="14"/>
    </row>
    <row r="195" spans="1:27" x14ac:dyDescent="0.3">
      <c r="A195" s="13" t="s">
        <v>248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5"/>
      <c r="N195" s="15"/>
      <c r="O195" s="13" t="str">
        <f t="shared" ca="1" si="12"/>
        <v/>
      </c>
      <c r="P195" s="14"/>
      <c r="Q195" s="14"/>
      <c r="R195" s="14"/>
      <c r="S195" s="16"/>
      <c r="T195" s="17"/>
      <c r="U195" s="18" t="str">
        <f t="shared" si="13"/>
        <v/>
      </c>
      <c r="V195" s="14"/>
      <c r="W195" s="14"/>
      <c r="X195" s="14"/>
      <c r="Y195" s="14"/>
      <c r="Z195" s="14"/>
      <c r="AA195" s="14"/>
    </row>
    <row r="196" spans="1:27" x14ac:dyDescent="0.3">
      <c r="A196" s="13" t="s">
        <v>249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5"/>
      <c r="N196" s="15"/>
      <c r="O196" s="13" t="str">
        <f t="shared" ca="1" si="12"/>
        <v/>
      </c>
      <c r="P196" s="14"/>
      <c r="Q196" s="14"/>
      <c r="R196" s="14"/>
      <c r="S196" s="16"/>
      <c r="T196" s="17"/>
      <c r="U196" s="18" t="str">
        <f t="shared" si="13"/>
        <v/>
      </c>
      <c r="V196" s="14"/>
      <c r="W196" s="14"/>
      <c r="X196" s="14"/>
      <c r="Y196" s="14"/>
      <c r="Z196" s="14"/>
      <c r="AA196" s="14"/>
    </row>
    <row r="197" spans="1:27" x14ac:dyDescent="0.3">
      <c r="A197" s="13" t="s">
        <v>250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5"/>
      <c r="N197" s="15"/>
      <c r="O197" s="13" t="str">
        <f t="shared" ca="1" si="12"/>
        <v/>
      </c>
      <c r="P197" s="14"/>
      <c r="Q197" s="14"/>
      <c r="R197" s="14"/>
      <c r="S197" s="16"/>
      <c r="T197" s="17"/>
      <c r="U197" s="18" t="str">
        <f t="shared" si="13"/>
        <v/>
      </c>
      <c r="V197" s="14"/>
      <c r="W197" s="14"/>
      <c r="X197" s="14"/>
      <c r="Y197" s="14"/>
      <c r="Z197" s="14"/>
      <c r="AA197" s="14"/>
    </row>
    <row r="198" spans="1:27" x14ac:dyDescent="0.3">
      <c r="A198" s="13" t="s">
        <v>251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5"/>
      <c r="N198" s="15"/>
      <c r="O198" s="13" t="str">
        <f t="shared" ca="1" si="12"/>
        <v/>
      </c>
      <c r="P198" s="14"/>
      <c r="Q198" s="14"/>
      <c r="R198" s="14"/>
      <c r="S198" s="16"/>
      <c r="T198" s="17"/>
      <c r="U198" s="18" t="str">
        <f t="shared" si="13"/>
        <v/>
      </c>
      <c r="V198" s="14"/>
      <c r="W198" s="14"/>
      <c r="X198" s="14"/>
      <c r="Y198" s="14"/>
      <c r="Z198" s="14"/>
      <c r="AA198" s="14"/>
    </row>
    <row r="199" spans="1:27" x14ac:dyDescent="0.3">
      <c r="A199" s="13" t="s">
        <v>252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5"/>
      <c r="N199" s="15"/>
      <c r="O199" s="13" t="str">
        <f t="shared" ca="1" si="12"/>
        <v/>
      </c>
      <c r="P199" s="14"/>
      <c r="Q199" s="14"/>
      <c r="R199" s="14"/>
      <c r="S199" s="16"/>
      <c r="T199" s="17"/>
      <c r="U199" s="18" t="str">
        <f t="shared" si="13"/>
        <v/>
      </c>
      <c r="V199" s="14"/>
      <c r="W199" s="14"/>
      <c r="X199" s="14"/>
      <c r="Y199" s="14"/>
      <c r="Z199" s="14"/>
      <c r="AA199" s="14"/>
    </row>
    <row r="200" spans="1:27" x14ac:dyDescent="0.3">
      <c r="A200" s="13" t="s">
        <v>253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5"/>
      <c r="N200" s="15"/>
      <c r="O200" s="13" t="str">
        <f t="shared" ca="1" si="12"/>
        <v/>
      </c>
      <c r="P200" s="14"/>
      <c r="Q200" s="14"/>
      <c r="R200" s="14"/>
      <c r="S200" s="16"/>
      <c r="T200" s="17"/>
      <c r="U200" s="18" t="str">
        <f t="shared" si="13"/>
        <v/>
      </c>
      <c r="V200" s="14"/>
      <c r="W200" s="14"/>
      <c r="X200" s="14"/>
      <c r="Y200" s="14"/>
      <c r="Z200" s="14"/>
      <c r="AA200" s="14"/>
    </row>
    <row r="201" spans="1:27" x14ac:dyDescent="0.3">
      <c r="A201" s="13" t="s">
        <v>254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5"/>
      <c r="N201" s="15"/>
      <c r="O201" s="13" t="str">
        <f t="shared" ca="1" si="12"/>
        <v/>
      </c>
      <c r="P201" s="14"/>
      <c r="Q201" s="14"/>
      <c r="R201" s="14"/>
      <c r="S201" s="16"/>
      <c r="T201" s="17"/>
      <c r="U201" s="18" t="str">
        <f t="shared" si="13"/>
        <v/>
      </c>
      <c r="V201" s="14"/>
      <c r="W201" s="14"/>
      <c r="X201" s="14"/>
      <c r="Y201" s="14"/>
      <c r="Z201" s="14"/>
      <c r="AA201" s="14"/>
    </row>
  </sheetData>
  <autoFilter ref="A1:AA201" xr:uid="{00000000-0009-0000-0000-000000000000}"/>
  <conditionalFormatting sqref="N2:N201">
    <cfRule type="expression" dxfId="4" priority="1">
      <formula>AND($N2&lt;&gt;"",$N2&lt;TODAY(),$L2&lt;&gt;"Won",$L2&lt;&gt;"Lost")</formula>
    </cfRule>
    <cfRule type="expression" dxfId="3" priority="2">
      <formula>AND($N2=TODAY(),$L2&lt;&gt;"Won",$L2&lt;&gt;"Lost")</formula>
    </cfRule>
  </conditionalFormatting>
  <conditionalFormatting sqref="T2:T201">
    <cfRule type="expression" dxfId="2" priority="3">
      <formula>$T2&gt;=0.6</formula>
    </cfRule>
  </conditionalFormatting>
  <conditionalFormatting sqref="O2:O201">
    <cfRule type="expression" dxfId="1" priority="4">
      <formula>AND($O2&lt;0,$L2&lt;&gt;"Won",$L2&lt;&gt;"Lost")</formula>
    </cfRule>
  </conditionalFormatting>
  <conditionalFormatting sqref="AA2:AA201">
    <cfRule type="expression" dxfId="0" priority="5">
      <formula>LEFT($AA2,1)="A"</formula>
    </cfRule>
  </conditionalFormatting>
  <dataValidations count="7">
    <dataValidation type="list" allowBlank="1" sqref="H2:H201" xr:uid="{00000000-0002-0000-0000-000000000000}">
      <formula1>"Space,GNSS,Software/IT,Consulting,Training,Public Sector,Other"</formula1>
    </dataValidation>
    <dataValidation type="list" allowBlank="1" sqref="I2:I201" xr:uid="{00000000-0002-0000-0000-000001000000}">
      <formula1>"Systems Engineering,Technical Studies,Software/IT,Proposal Support,Training,Technical Services,Business Development Support"</formula1>
    </dataValidation>
    <dataValidation type="list" allowBlank="1" sqref="J2:J201" xr:uid="{00000000-0002-0000-0000-000002000000}">
      <formula1>"Referral,LinkedIn,Email Outreach,Website,Tender Scan,Event,Partner,Existing Network,Other"</formula1>
    </dataValidation>
    <dataValidation type="list" allowBlank="1" sqref="L2:L201" xr:uid="{00000000-0002-0000-0000-000003000000}">
      <formula1>"New,Contacted,Replied,Meeting Booked,Qualified,Proposal Sent,Negotiation,Won,Lost,On Hold"</formula1>
    </dataValidation>
    <dataValidation type="list" allowBlank="1" sqref="P2:P201" xr:uid="{00000000-0002-0000-0000-000004000000}">
      <formula1>"Gianluigi,Partner,External Consultant"</formula1>
    </dataValidation>
    <dataValidation type="list" allowBlank="1" sqref="V2:W201" xr:uid="{00000000-0002-0000-0000-000005000000}">
      <formula1>"Yes,No"</formula1>
    </dataValidation>
    <dataValidation type="list" allowBlank="1" sqref="AA2:AA201" xr:uid="{00000000-0002-0000-0000-000006000000}">
      <formula1>"A - Hot,B - Warm,C - Cold"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D1"/>
    </sheetView>
  </sheetViews>
  <sheetFormatPr defaultRowHeight="14.4" x14ac:dyDescent="0.3"/>
  <cols>
    <col min="1" max="2" width="22" customWidth="1"/>
    <col min="4" max="5" width="22" customWidth="1"/>
  </cols>
  <sheetData>
    <row r="1" spans="1:5" ht="18" x14ac:dyDescent="0.35">
      <c r="A1" s="9" t="s">
        <v>255</v>
      </c>
      <c r="B1" s="10"/>
      <c r="C1" s="10"/>
      <c r="D1" s="10"/>
    </row>
    <row r="3" spans="1:5" x14ac:dyDescent="0.3">
      <c r="A3" s="3" t="s">
        <v>256</v>
      </c>
      <c r="B3" s="4">
        <f ca="1">TODAY()</f>
        <v>46121</v>
      </c>
      <c r="D3" s="5" t="s">
        <v>11</v>
      </c>
      <c r="E3" s="5" t="s">
        <v>257</v>
      </c>
    </row>
    <row r="4" spans="1:5" x14ac:dyDescent="0.3">
      <c r="D4" s="3" t="s">
        <v>258</v>
      </c>
      <c r="E4" s="3">
        <f>COUNTIF('Leads CRM'!L2:L201,D4)</f>
        <v>0</v>
      </c>
    </row>
    <row r="5" spans="1:5" x14ac:dyDescent="0.3">
      <c r="A5" s="6" t="s">
        <v>259</v>
      </c>
      <c r="B5" s="1">
        <f>COUNTA('Leads CRM'!B2:B201)</f>
        <v>3</v>
      </c>
      <c r="D5" s="3" t="s">
        <v>36</v>
      </c>
      <c r="E5" s="3">
        <f>COUNTIF('Leads CRM'!L2:L201,D5)</f>
        <v>3</v>
      </c>
    </row>
    <row r="6" spans="1:5" x14ac:dyDescent="0.3">
      <c r="A6" s="6" t="s">
        <v>260</v>
      </c>
      <c r="B6" s="1">
        <f>COUNTIF('Leads CRM'!L2:L201,"&lt;&gt;")-COUNTIF('Leads CRM'!L2:L201,"Won")-COUNTIF('Leads CRM'!L2:L201,"Lost")</f>
        <v>3</v>
      </c>
      <c r="D6" s="3" t="s">
        <v>261</v>
      </c>
      <c r="E6" s="3">
        <f>COUNTIF('Leads CRM'!L2:L201,D6)</f>
        <v>0</v>
      </c>
    </row>
    <row r="7" spans="1:5" x14ac:dyDescent="0.3">
      <c r="A7" s="6" t="s">
        <v>262</v>
      </c>
      <c r="B7" s="1">
        <f>COUNTIF('Leads CRM'!V2:V201,"Yes")</f>
        <v>0</v>
      </c>
      <c r="D7" s="3" t="s">
        <v>21</v>
      </c>
      <c r="E7" s="3">
        <f>COUNTIF('Leads CRM'!L2:L201,D7)</f>
        <v>0</v>
      </c>
    </row>
    <row r="8" spans="1:5" x14ac:dyDescent="0.3">
      <c r="A8" s="6" t="s">
        <v>263</v>
      </c>
      <c r="B8" s="1">
        <f>COUNTIF('Leads CRM'!W2:W201,"Yes")</f>
        <v>0</v>
      </c>
      <c r="D8" s="3" t="s">
        <v>264</v>
      </c>
      <c r="E8" s="3">
        <f>COUNTIF('Leads CRM'!L2:L201,D8)</f>
        <v>0</v>
      </c>
    </row>
    <row r="9" spans="1:5" x14ac:dyDescent="0.3">
      <c r="A9" s="6" t="s">
        <v>265</v>
      </c>
      <c r="B9" s="1">
        <f>COUNTIF('Leads CRM'!L2:L201,"Won")</f>
        <v>0</v>
      </c>
      <c r="D9" s="3" t="s">
        <v>22</v>
      </c>
      <c r="E9" s="3">
        <f>COUNTIF('Leads CRM'!L2:L201,D9)</f>
        <v>0</v>
      </c>
    </row>
    <row r="10" spans="1:5" x14ac:dyDescent="0.3">
      <c r="A10" s="6" t="s">
        <v>266</v>
      </c>
      <c r="B10" s="1">
        <f>COUNTIF('Leads CRM'!L2:L201,"Lost")</f>
        <v>0</v>
      </c>
      <c r="D10" s="3" t="s">
        <v>267</v>
      </c>
      <c r="E10" s="3">
        <f>COUNTIF('Leads CRM'!L2:L201,D10)</f>
        <v>0</v>
      </c>
    </row>
    <row r="11" spans="1:5" x14ac:dyDescent="0.3">
      <c r="A11" s="6" t="s">
        <v>268</v>
      </c>
      <c r="B11" s="1">
        <f ca="1">COUNTIFS('Leads CRM'!N2:N201,"&lt;"&amp;TODAY(),'Leads CRM'!L2:L201,"&lt;&gt;Won",'Leads CRM'!L2:L201,"&lt;&gt;Lost")</f>
        <v>0</v>
      </c>
      <c r="D11" s="3" t="s">
        <v>265</v>
      </c>
      <c r="E11" s="3">
        <f>COUNTIF('Leads CRM'!L2:L201,D11)</f>
        <v>0</v>
      </c>
    </row>
    <row r="12" spans="1:5" x14ac:dyDescent="0.3">
      <c r="A12" s="6" t="s">
        <v>269</v>
      </c>
      <c r="B12" s="1">
        <f ca="1">COUNTIFS('Leads CRM'!N2:N201,TODAY(),'Leads CRM'!L2:L201,"&lt;&gt;Won",'Leads CRM'!L2:L201,"&lt;&gt;Lost")</f>
        <v>0</v>
      </c>
      <c r="D12" s="3" t="s">
        <v>266</v>
      </c>
      <c r="E12" s="3">
        <f>COUNTIF('Leads CRM'!L2:L201,D12)</f>
        <v>0</v>
      </c>
    </row>
    <row r="13" spans="1:5" x14ac:dyDescent="0.3">
      <c r="A13" s="6" t="s">
        <v>270</v>
      </c>
      <c r="B13" s="2">
        <f>SUM('Leads CRM'!S2:S201)</f>
        <v>0</v>
      </c>
      <c r="D13" s="3" t="s">
        <v>271</v>
      </c>
      <c r="E13" s="3">
        <f>COUNTIF('Leads CRM'!L2:L201,D13)</f>
        <v>0</v>
      </c>
    </row>
    <row r="14" spans="1:5" x14ac:dyDescent="0.3">
      <c r="A14" s="6" t="s">
        <v>272</v>
      </c>
      <c r="B14" s="2">
        <f>SUM('Leads CRM'!U2:U201)</f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4.4" x14ac:dyDescent="0.3"/>
  <cols>
    <col min="1" max="1" width="80" customWidth="1"/>
  </cols>
  <sheetData>
    <row r="1" spans="1:1" x14ac:dyDescent="0.3">
      <c r="A1" s="7" t="s">
        <v>273</v>
      </c>
    </row>
    <row r="2" spans="1:1" x14ac:dyDescent="0.3">
      <c r="A2" s="3" t="s">
        <v>274</v>
      </c>
    </row>
    <row r="4" spans="1:1" x14ac:dyDescent="0.3">
      <c r="A4" s="3" t="s">
        <v>275</v>
      </c>
    </row>
    <row r="5" spans="1:1" x14ac:dyDescent="0.3">
      <c r="A5" s="3" t="s">
        <v>276</v>
      </c>
    </row>
    <row r="6" spans="1:1" x14ac:dyDescent="0.3">
      <c r="A6" s="3" t="s">
        <v>277</v>
      </c>
    </row>
    <row r="7" spans="1:1" x14ac:dyDescent="0.3">
      <c r="A7" s="3" t="s">
        <v>278</v>
      </c>
    </row>
    <row r="8" spans="1:1" x14ac:dyDescent="0.3">
      <c r="A8" s="3" t="s">
        <v>279</v>
      </c>
    </row>
    <row r="9" spans="1:1" x14ac:dyDescent="0.3">
      <c r="A9" s="3" t="s">
        <v>280</v>
      </c>
    </row>
    <row r="10" spans="1:1" x14ac:dyDescent="0.3">
      <c r="A10" s="3" t="s">
        <v>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4.4" x14ac:dyDescent="0.3"/>
  <cols>
    <col min="1" max="1" width="100" customWidth="1"/>
  </cols>
  <sheetData>
    <row r="1" spans="1:1" x14ac:dyDescent="0.3">
      <c r="A1" s="7" t="s">
        <v>282</v>
      </c>
    </row>
    <row r="3" spans="1:1" ht="220.05" customHeight="1" x14ac:dyDescent="0.3">
      <c r="A3" s="8" t="s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Leads CRM</vt:lpstr>
      <vt:lpstr>Dashboard</vt:lpstr>
      <vt:lpstr>Follow-up Today</vt:lpstr>
      <vt:lpstr>Agent 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2026-04-08T15:56:08Z</dcterms:created>
  <dcterms:modified xsi:type="dcterms:W3CDTF">2026-04-09T10:13:53Z</dcterms:modified>
</cp:coreProperties>
</file>